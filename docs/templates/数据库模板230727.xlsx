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会议达成统计 (日)" sheetId="1" r:id="rId1"/>
    <sheet name="会议达成统计（周、月、年）" sheetId="2" r:id="rId2"/>
    <sheet name="流水帐（会议记录）" sheetId="3" r:id="rId3"/>
    <sheet name="基准数据库" sheetId="4" r:id="rId4"/>
  </sheets>
  <definedNames>
    <definedName name="_xlnm._FilterDatabase" localSheetId="1" hidden="1">'会议达成统计（周、月、年）'!$A$2:$O$16</definedName>
    <definedName name="_xlnm._FilterDatabase" localSheetId="2" hidden="1">'流水帐（会议记录）'!$A$1:$O$4</definedName>
    <definedName name="NativeTimeline_日期">#N/A</definedName>
  </definedNames>
  <calcPr calcId="144525"/>
</workbook>
</file>

<file path=xl/sharedStrings.xml><?xml version="1.0" encoding="utf-8"?>
<sst xmlns="http://schemas.openxmlformats.org/spreadsheetml/2006/main" count="116" uniqueCount="88">
  <si>
    <t>责任人</t>
  </si>
  <si>
    <t>合计</t>
  </si>
  <si>
    <t>日稽核V</t>
  </si>
  <si>
    <t>日稽核X</t>
  </si>
  <si>
    <t>日达成率</t>
  </si>
  <si>
    <t>排名</t>
  </si>
  <si>
    <t>周次</t>
  </si>
  <si>
    <t>统计</t>
  </si>
  <si>
    <t>月次</t>
  </si>
  <si>
    <t>累积数据统计</t>
  </si>
  <si>
    <t>黄色部分输入周次月次，自动生成，手动排序</t>
  </si>
  <si>
    <t>周稽核V</t>
  </si>
  <si>
    <t>周稽核X</t>
  </si>
  <si>
    <t>周达成率</t>
  </si>
  <si>
    <t>周排序分</t>
  </si>
  <si>
    <t>月稽核V</t>
  </si>
  <si>
    <t>月稽核X</t>
  </si>
  <si>
    <t>月达成率</t>
  </si>
  <si>
    <t>月排序分</t>
  </si>
  <si>
    <t>稽核V</t>
  </si>
  <si>
    <t>稽核X</t>
  </si>
  <si>
    <t>总达成率</t>
  </si>
  <si>
    <t>累积排序</t>
  </si>
  <si>
    <t>红色标识为低于或等于平均分</t>
  </si>
  <si>
    <t>虞奕</t>
  </si>
  <si>
    <t>廖新平</t>
  </si>
  <si>
    <t>罗永胜</t>
  </si>
  <si>
    <t>朱燕迪</t>
  </si>
  <si>
    <t>许景</t>
  </si>
  <si>
    <t>魏李丹</t>
  </si>
  <si>
    <t>金辉</t>
  </si>
  <si>
    <t>虞周峰</t>
  </si>
  <si>
    <t>李玉英</t>
  </si>
  <si>
    <t>罗旋</t>
  </si>
  <si>
    <t>裘璐</t>
  </si>
  <si>
    <t>王栌鑫</t>
  </si>
  <si>
    <t>沈旭挺</t>
  </si>
  <si>
    <t>孙周杰</t>
  </si>
  <si>
    <t>年份</t>
  </si>
  <si>
    <t>周序</t>
  </si>
  <si>
    <t>部门</t>
  </si>
  <si>
    <t>类别</t>
  </si>
  <si>
    <t>日期</t>
  </si>
  <si>
    <t>提出人</t>
  </si>
  <si>
    <t>提议内容</t>
  </si>
  <si>
    <t>节点</t>
  </si>
  <si>
    <t>稽核</t>
  </si>
  <si>
    <t>评分</t>
  </si>
  <si>
    <t>立项</t>
  </si>
  <si>
    <t>月份</t>
  </si>
  <si>
    <t>稽核证据和跟进记录</t>
  </si>
  <si>
    <t>总经办</t>
  </si>
  <si>
    <t>协调会</t>
  </si>
  <si>
    <t>朱剑军</t>
  </si>
  <si>
    <t>4月份开始在精益车间开始执行问题显在化看板</t>
  </si>
  <si>
    <t>精益</t>
  </si>
  <si>
    <t>V</t>
  </si>
  <si>
    <t>星空太阳能灯项目</t>
  </si>
  <si>
    <t>品质</t>
  </si>
  <si>
    <t>点检会</t>
  </si>
  <si>
    <t>装配</t>
  </si>
  <si>
    <t>样品专题会</t>
  </si>
  <si>
    <t>采购</t>
  </si>
  <si>
    <t>电商团队复盘</t>
  </si>
  <si>
    <t>计划</t>
  </si>
  <si>
    <t>企微提出</t>
  </si>
  <si>
    <t>指导老师</t>
  </si>
  <si>
    <t>刘老师</t>
  </si>
  <si>
    <t>净需求专题会</t>
  </si>
  <si>
    <t>销售</t>
  </si>
  <si>
    <t>沈旭日</t>
  </si>
  <si>
    <t>样品</t>
  </si>
  <si>
    <t>前道</t>
  </si>
  <si>
    <t>任务书</t>
  </si>
  <si>
    <t>光电</t>
  </si>
  <si>
    <t>工程</t>
  </si>
  <si>
    <t>谢艳艳</t>
  </si>
  <si>
    <t>刘志昂</t>
  </si>
  <si>
    <t>物控</t>
  </si>
  <si>
    <t>贾余丽</t>
  </si>
  <si>
    <t>销二</t>
  </si>
  <si>
    <t>沈建凯</t>
  </si>
  <si>
    <t>项目组</t>
  </si>
  <si>
    <t>销一</t>
  </si>
  <si>
    <t>包跃</t>
  </si>
  <si>
    <t>戎双娇</t>
  </si>
  <si>
    <t>唐沈芝</t>
  </si>
  <si>
    <t>姚勇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</si>
</sst>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周&quot;"/>
    <numFmt numFmtId="177" formatCode="General&quot;年&quot;"/>
    <numFmt numFmtId="178" formatCode="m&quot;月&quot;d&quot;日&quot;;@"/>
    <numFmt numFmtId="179" formatCode="General&quot;月&quot;"/>
  </numFmts>
  <fonts count="34">
    <font>
      <sz val="11"/>
      <color indexed="8"/>
      <name val="等线"/>
      <charset val="134"/>
      <scheme val="minor"/>
    </font>
    <font>
      <sz val="12"/>
      <name val="等线"/>
      <charset val="134"/>
      <scheme val="minor"/>
    </font>
    <font>
      <sz val="12"/>
      <name val="宋体"/>
      <charset val="134"/>
    </font>
    <font>
      <sz val="12"/>
      <name val="SimSun"/>
      <charset val="134"/>
    </font>
    <font>
      <sz val="12"/>
      <name val="等线"/>
      <charset val="134"/>
    </font>
    <font>
      <sz val="12"/>
      <name val="Microsoft YaHei"/>
      <charset val="134"/>
    </font>
    <font>
      <sz val="14"/>
      <color indexed="8"/>
      <name val="等线"/>
      <charset val="134"/>
      <scheme val="minor"/>
    </font>
    <font>
      <sz val="14"/>
      <color indexed="8"/>
      <name val="宋体"/>
      <charset val="134"/>
    </font>
    <font>
      <sz val="14"/>
      <name val="SimSun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10"/>
      <color rgb="FF000000"/>
      <name val="SimSun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6" fillId="2" borderId="3" xfId="0" applyFont="1" applyFill="1" applyBorder="1">
      <alignment vertical="center"/>
    </xf>
    <xf numFmtId="0" fontId="6" fillId="0" borderId="3" xfId="0" applyFont="1" applyBorder="1">
      <alignment vertical="center"/>
    </xf>
    <xf numFmtId="0" fontId="7" fillId="0" borderId="3" xfId="0" applyFont="1" applyBorder="1">
      <alignment vertical="center"/>
    </xf>
    <xf numFmtId="176" fontId="8" fillId="2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wrapText="1"/>
    </xf>
    <xf numFmtId="177" fontId="9" fillId="2" borderId="3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58" fontId="9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178" fontId="9" fillId="0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3" xfId="0" applyFont="1" applyFill="1" applyBorder="1">
      <alignment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179" fontId="9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 wrapText="1"/>
    </xf>
    <xf numFmtId="9" fontId="9" fillId="0" borderId="1" xfId="0" applyNumberFormat="1" applyFont="1" applyFill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 wrapText="1"/>
    </xf>
    <xf numFmtId="178" fontId="13" fillId="0" borderId="1" xfId="0" applyNumberFormat="1" applyFont="1" applyFill="1" applyBorder="1" applyAlignment="1">
      <alignment horizontal="center" vertical="center" wrapText="1"/>
    </xf>
    <xf numFmtId="10" fontId="12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1"/>
  <sheetViews>
    <sheetView workbookViewId="0">
      <pane ySplit="1" topLeftCell="A2" activePane="bottomLeft" state="frozen"/>
      <selection/>
      <selection pane="bottomLeft" activeCell="Y30" sqref="Y30"/>
    </sheetView>
  </sheetViews>
  <sheetFormatPr defaultColWidth="7.12962962962963" defaultRowHeight="13.8"/>
  <cols>
    <col min="1" max="16384" width="7.12962962962963" customWidth="1"/>
  </cols>
  <sheetData>
    <row r="1" ht="30" customHeight="1" spans="1:33">
      <c r="A1" s="37" t="s">
        <v>0</v>
      </c>
      <c r="B1" s="38">
        <v>45047</v>
      </c>
      <c r="C1" s="39">
        <f t="shared" ref="C1:AF1" si="0">B1+1</f>
        <v>45048</v>
      </c>
      <c r="D1" s="39">
        <f t="shared" si="0"/>
        <v>45049</v>
      </c>
      <c r="E1" s="39">
        <f t="shared" si="0"/>
        <v>45050</v>
      </c>
      <c r="F1" s="39">
        <f t="shared" si="0"/>
        <v>45051</v>
      </c>
      <c r="G1" s="39">
        <f t="shared" si="0"/>
        <v>45052</v>
      </c>
      <c r="H1" s="39">
        <f t="shared" si="0"/>
        <v>45053</v>
      </c>
      <c r="I1" s="39">
        <f t="shared" si="0"/>
        <v>45054</v>
      </c>
      <c r="J1" s="39">
        <f t="shared" si="0"/>
        <v>45055</v>
      </c>
      <c r="K1" s="39">
        <f t="shared" si="0"/>
        <v>45056</v>
      </c>
      <c r="L1" s="39">
        <f t="shared" si="0"/>
        <v>45057</v>
      </c>
      <c r="M1" s="39">
        <f t="shared" si="0"/>
        <v>45058</v>
      </c>
      <c r="N1" s="39">
        <f t="shared" si="0"/>
        <v>45059</v>
      </c>
      <c r="O1" s="39">
        <f t="shared" si="0"/>
        <v>45060</v>
      </c>
      <c r="P1" s="39">
        <f t="shared" si="0"/>
        <v>45061</v>
      </c>
      <c r="Q1" s="39">
        <f t="shared" si="0"/>
        <v>45062</v>
      </c>
      <c r="R1" s="39">
        <f t="shared" si="0"/>
        <v>45063</v>
      </c>
      <c r="S1" s="39">
        <f t="shared" si="0"/>
        <v>45064</v>
      </c>
      <c r="T1" s="39">
        <f t="shared" si="0"/>
        <v>45065</v>
      </c>
      <c r="U1" s="39">
        <f t="shared" si="0"/>
        <v>45066</v>
      </c>
      <c r="V1" s="39">
        <f t="shared" si="0"/>
        <v>45067</v>
      </c>
      <c r="W1" s="39">
        <f t="shared" si="0"/>
        <v>45068</v>
      </c>
      <c r="X1" s="39">
        <f t="shared" si="0"/>
        <v>45069</v>
      </c>
      <c r="Y1" s="39">
        <f t="shared" si="0"/>
        <v>45070</v>
      </c>
      <c r="Z1" s="39">
        <f t="shared" si="0"/>
        <v>45071</v>
      </c>
      <c r="AA1" s="39">
        <f t="shared" si="0"/>
        <v>45072</v>
      </c>
      <c r="AB1" s="39">
        <f t="shared" si="0"/>
        <v>45073</v>
      </c>
      <c r="AC1" s="39">
        <f t="shared" si="0"/>
        <v>45074</v>
      </c>
      <c r="AD1" s="39">
        <f t="shared" si="0"/>
        <v>45075</v>
      </c>
      <c r="AE1" s="39">
        <f t="shared" si="0"/>
        <v>45076</v>
      </c>
      <c r="AF1" s="42">
        <f t="shared" si="0"/>
        <v>45077</v>
      </c>
      <c r="AG1" s="43" t="s">
        <v>1</v>
      </c>
    </row>
    <row r="2" ht="30" customHeight="1" spans="1:33">
      <c r="A2" s="40" t="s">
        <v>2</v>
      </c>
      <c r="B2" s="40">
        <f>COUNTIFS('流水帐（会议记录）'!$K:$K,"V",'流水帐（会议记录）'!$H:$H,B$1)</f>
        <v>0</v>
      </c>
      <c r="C2" s="40">
        <f>COUNTIFS('流水帐（会议记录）'!$K:$K,"V",'流水帐（会议记录）'!$H:$H,C$1)</f>
        <v>0</v>
      </c>
      <c r="D2" s="40">
        <f>COUNTIFS('流水帐（会议记录）'!$K:$K,"V",'流水帐（会议记录）'!$H:$H,D$1)</f>
        <v>0</v>
      </c>
      <c r="E2" s="40">
        <f>COUNTIFS('流水帐（会议记录）'!$K:$K,"V",'流水帐（会议记录）'!$H:$H,E$1)</f>
        <v>0</v>
      </c>
      <c r="F2" s="40">
        <f>COUNTIFS('流水帐（会议记录）'!$K:$K,"V",'流水帐（会议记录）'!$H:$H,F$1)</f>
        <v>0</v>
      </c>
      <c r="G2" s="40">
        <f>COUNTIFS('流水帐（会议记录）'!$K:$K,"V",'流水帐（会议记录）'!$H:$H,G$1)</f>
        <v>0</v>
      </c>
      <c r="H2" s="40">
        <f>COUNTIFS('流水帐（会议记录）'!$K:$K,"V",'流水帐（会议记录）'!$H:$H,H$1)</f>
        <v>0</v>
      </c>
      <c r="I2" s="40">
        <f>COUNTIFS('流水帐（会议记录）'!$K:$K,"V",'流水帐（会议记录）'!$H:$H,I$1)</f>
        <v>0</v>
      </c>
      <c r="J2" s="40">
        <f>COUNTIFS('流水帐（会议记录）'!$K:$K,"V",'流水帐（会议记录）'!$H:$H,J$1)</f>
        <v>0</v>
      </c>
      <c r="K2" s="40">
        <f>COUNTIFS('流水帐（会议记录）'!$K:$K,"V",'流水帐（会议记录）'!$H:$H,K$1)</f>
        <v>0</v>
      </c>
      <c r="L2" s="40">
        <f>COUNTIFS('流水帐（会议记录）'!$K:$K,"V",'流水帐（会议记录）'!$H:$H,L$1)</f>
        <v>0</v>
      </c>
      <c r="M2" s="40">
        <f>COUNTIFS('流水帐（会议记录）'!$K:$K,"V",'流水帐（会议记录）'!$H:$H,M$1)</f>
        <v>0</v>
      </c>
      <c r="N2" s="40">
        <f>COUNTIFS('流水帐（会议记录）'!$K:$K,"V",'流水帐（会议记录）'!$H:$H,N$1)</f>
        <v>0</v>
      </c>
      <c r="O2" s="40">
        <f>COUNTIFS('流水帐（会议记录）'!$K:$K,"V",'流水帐（会议记录）'!$H:$H,O$1)</f>
        <v>0</v>
      </c>
      <c r="P2" s="40">
        <f>COUNTIFS('流水帐（会议记录）'!$K:$K,"V",'流水帐（会议记录）'!$H:$H,P$1)</f>
        <v>0</v>
      </c>
      <c r="Q2" s="40">
        <f>COUNTIFS('流水帐（会议记录）'!$K:$K,"V",'流水帐（会议记录）'!$H:$H,Q$1)</f>
        <v>0</v>
      </c>
      <c r="R2" s="40">
        <f>COUNTIFS('流水帐（会议记录）'!$K:$K,"V",'流水帐（会议记录）'!$H:$H,R$1)</f>
        <v>0</v>
      </c>
      <c r="S2" s="40">
        <f>COUNTIFS('流水帐（会议记录）'!$K:$K,"V",'流水帐（会议记录）'!$H:$H,S$1)</f>
        <v>0</v>
      </c>
      <c r="T2" s="40">
        <f>COUNTIFS('流水帐（会议记录）'!$K:$K,"V",'流水帐（会议记录）'!$H:$H,T$1)</f>
        <v>0</v>
      </c>
      <c r="U2" s="40">
        <f>COUNTIFS('流水帐（会议记录）'!$K:$K,"V",'流水帐（会议记录）'!$H:$H,U$1)</f>
        <v>0</v>
      </c>
      <c r="V2" s="40">
        <f>COUNTIFS('流水帐（会议记录）'!$K:$K,"V",'流水帐（会议记录）'!$H:$H,V$1)</f>
        <v>0</v>
      </c>
      <c r="W2" s="40">
        <f>COUNTIFS('流水帐（会议记录）'!$K:$K,"V",'流水帐（会议记录）'!$H:$H,W$1)</f>
        <v>0</v>
      </c>
      <c r="X2" s="40">
        <f>COUNTIFS('流水帐（会议记录）'!$K:$K,"V",'流水帐（会议记录）'!$H:$H,X$1)</f>
        <v>0</v>
      </c>
      <c r="Y2" s="40">
        <f>COUNTIFS('流水帐（会议记录）'!$K:$K,"V",'流水帐（会议记录）'!$H:$H,Y$1)</f>
        <v>0</v>
      </c>
      <c r="Z2" s="40">
        <f>COUNTIFS('流水帐（会议记录）'!$K:$K,"V",'流水帐（会议记录）'!$H:$H,Z$1)</f>
        <v>0</v>
      </c>
      <c r="AA2" s="40">
        <f>COUNTIFS('流水帐（会议记录）'!$K:$K,"V",'流水帐（会议记录）'!$H:$H,AA$1)</f>
        <v>0</v>
      </c>
      <c r="AB2" s="40">
        <f>COUNTIFS('流水帐（会议记录）'!$K:$K,"V",'流水帐（会议记录）'!$H:$H,AB$1)</f>
        <v>0</v>
      </c>
      <c r="AC2" s="40">
        <f>COUNTIFS('流水帐（会议记录）'!$K:$K,"V",'流水帐（会议记录）'!$H:$H,AC$1)</f>
        <v>0</v>
      </c>
      <c r="AD2" s="40">
        <f>COUNTIFS('流水帐（会议记录）'!$K:$K,"V",'流水帐（会议记录）'!$H:$H,AD$1)</f>
        <v>0</v>
      </c>
      <c r="AE2" s="40">
        <f>COUNTIFS('流水帐（会议记录）'!$K:$K,"V",'流水帐（会议记录）'!$H:$H,AE$1)</f>
        <v>0</v>
      </c>
      <c r="AF2" s="40">
        <f>COUNTIFS('流水帐（会议记录）'!$K:$K,"V",'流水帐（会议记录）'!$H:$H,AF$1)</f>
        <v>0</v>
      </c>
      <c r="AG2" s="40">
        <f>SUM(B2:AF2)</f>
        <v>0</v>
      </c>
    </row>
    <row r="3" ht="30" customHeight="1" spans="1:33">
      <c r="A3" s="40" t="s">
        <v>3</v>
      </c>
      <c r="B3" s="40">
        <f>COUNTIFS('流水帐（会议记录）'!$K:$K,"X",'流水帐（会议记录）'!$H:$H,B$1)</f>
        <v>0</v>
      </c>
      <c r="C3" s="40">
        <f>COUNTIFS('流水帐（会议记录）'!$K:$K,"X",'流水帐（会议记录）'!$H:$H,C$1)</f>
        <v>0</v>
      </c>
      <c r="D3" s="40">
        <f>COUNTIFS('流水帐（会议记录）'!$K:$K,"X",'流水帐（会议记录）'!$H:$H,D$1)</f>
        <v>0</v>
      </c>
      <c r="E3" s="40">
        <f>COUNTIFS('流水帐（会议记录）'!$K:$K,"X",'流水帐（会议记录）'!$H:$H,E$1)</f>
        <v>0</v>
      </c>
      <c r="F3" s="40">
        <f>COUNTIFS('流水帐（会议记录）'!$K:$K,"X",'流水帐（会议记录）'!$H:$H,F$1)</f>
        <v>0</v>
      </c>
      <c r="G3" s="40">
        <f>COUNTIFS('流水帐（会议记录）'!$K:$K,"X",'流水帐（会议记录）'!$H:$H,G$1)</f>
        <v>0</v>
      </c>
      <c r="H3" s="40">
        <f>COUNTIFS('流水帐（会议记录）'!$K:$K,"X",'流水帐（会议记录）'!$H:$H,H$1)</f>
        <v>0</v>
      </c>
      <c r="I3" s="40">
        <f>COUNTIFS('流水帐（会议记录）'!$K:$K,"X",'流水帐（会议记录）'!$H:$H,I$1)</f>
        <v>0</v>
      </c>
      <c r="J3" s="40">
        <f>COUNTIFS('流水帐（会议记录）'!$K:$K,"X",'流水帐（会议记录）'!$H:$H,J$1)</f>
        <v>0</v>
      </c>
      <c r="K3" s="40">
        <f>COUNTIFS('流水帐（会议记录）'!$K:$K,"X",'流水帐（会议记录）'!$H:$H,K$1)</f>
        <v>0</v>
      </c>
      <c r="L3" s="40">
        <f>COUNTIFS('流水帐（会议记录）'!$K:$K,"X",'流水帐（会议记录）'!$H:$H,L$1)</f>
        <v>0</v>
      </c>
      <c r="M3" s="40">
        <f>COUNTIFS('流水帐（会议记录）'!$K:$K,"X",'流水帐（会议记录）'!$H:$H,M$1)</f>
        <v>0</v>
      </c>
      <c r="N3" s="40">
        <f>COUNTIFS('流水帐（会议记录）'!$K:$K,"X",'流水帐（会议记录）'!$H:$H,N$1)</f>
        <v>0</v>
      </c>
      <c r="O3" s="40">
        <f>COUNTIFS('流水帐（会议记录）'!$K:$K,"X",'流水帐（会议记录）'!$H:$H,O$1)</f>
        <v>0</v>
      </c>
      <c r="P3" s="40">
        <f>COUNTIFS('流水帐（会议记录）'!$K:$K,"X",'流水帐（会议记录）'!$H:$H,P$1)</f>
        <v>0</v>
      </c>
      <c r="Q3" s="40">
        <f>COUNTIFS('流水帐（会议记录）'!$K:$K,"X",'流水帐（会议记录）'!$H:$H,Q$1)</f>
        <v>0</v>
      </c>
      <c r="R3" s="40">
        <f>COUNTIFS('流水帐（会议记录）'!$K:$K,"X",'流水帐（会议记录）'!$H:$H,R$1)</f>
        <v>0</v>
      </c>
      <c r="S3" s="40">
        <f>COUNTIFS('流水帐（会议记录）'!$K:$K,"X",'流水帐（会议记录）'!$H:$H,S$1)</f>
        <v>0</v>
      </c>
      <c r="T3" s="40">
        <f>COUNTIFS('流水帐（会议记录）'!$K:$K,"X",'流水帐（会议记录）'!$H:$H,T$1)</f>
        <v>0</v>
      </c>
      <c r="U3" s="40">
        <f>COUNTIFS('流水帐（会议记录）'!$K:$K,"X",'流水帐（会议记录）'!$H:$H,U$1)</f>
        <v>0</v>
      </c>
      <c r="V3" s="40">
        <f>COUNTIFS('流水帐（会议记录）'!$K:$K,"X",'流水帐（会议记录）'!$H:$H,V$1)</f>
        <v>0</v>
      </c>
      <c r="W3" s="40">
        <f>COUNTIFS('流水帐（会议记录）'!$K:$K,"X",'流水帐（会议记录）'!$H:$H,W$1)</f>
        <v>0</v>
      </c>
      <c r="X3" s="40">
        <f>COUNTIFS('流水帐（会议记录）'!$K:$K,"X",'流水帐（会议记录）'!$H:$H,X$1)</f>
        <v>0</v>
      </c>
      <c r="Y3" s="40">
        <f>COUNTIFS('流水帐（会议记录）'!$K:$K,"X",'流水帐（会议记录）'!$H:$H,Y$1)</f>
        <v>0</v>
      </c>
      <c r="Z3" s="40">
        <f>COUNTIFS('流水帐（会议记录）'!$K:$K,"X",'流水帐（会议记录）'!$H:$H,Z$1)</f>
        <v>0</v>
      </c>
      <c r="AA3" s="40">
        <f>COUNTIFS('流水帐（会议记录）'!$K:$K,"X",'流水帐（会议记录）'!$H:$H,AA$1)</f>
        <v>0</v>
      </c>
      <c r="AB3" s="40">
        <f>COUNTIFS('流水帐（会议记录）'!$K:$K,"X",'流水帐（会议记录）'!$H:$H,AB$1)</f>
        <v>0</v>
      </c>
      <c r="AC3" s="40">
        <f>COUNTIFS('流水帐（会议记录）'!$K:$K,"X",'流水帐（会议记录）'!$H:$H,AC$1)</f>
        <v>0</v>
      </c>
      <c r="AD3" s="40">
        <f>COUNTIFS('流水帐（会议记录）'!$K:$K,"X",'流水帐（会议记录）'!$H:$H,AD$1)</f>
        <v>0</v>
      </c>
      <c r="AE3" s="40">
        <f>COUNTIFS('流水帐（会议记录）'!$K:$K,"X",'流水帐（会议记录）'!$H:$H,AE$1)</f>
        <v>0</v>
      </c>
      <c r="AF3" s="40">
        <f>COUNTIFS('流水帐（会议记录）'!$K:$K,"X",'流水帐（会议记录）'!$H:$H,AF$1)</f>
        <v>0</v>
      </c>
      <c r="AG3" s="40">
        <f>SUM(B3:AF3)</f>
        <v>0</v>
      </c>
    </row>
    <row r="4" ht="30" customHeight="1" spans="1:33">
      <c r="A4" s="41" t="s">
        <v>4</v>
      </c>
      <c r="B4" s="41" t="str">
        <f>IFERROR(B2/(B2+B3),"无")</f>
        <v>无</v>
      </c>
      <c r="C4" s="41" t="str">
        <f>IFERROR(C2/(C2+C3),"无")</f>
        <v>无</v>
      </c>
      <c r="D4" s="41" t="str">
        <f>IFERROR(D2/(D2+D3),"无")</f>
        <v>无</v>
      </c>
      <c r="E4" s="41" t="str">
        <f>IFERROR(E2/(E2+E3),"无")</f>
        <v>无</v>
      </c>
      <c r="F4" s="41" t="str">
        <f t="shared" ref="F4:AF4" si="1">IFERROR(F2/(F2+F3),"无")</f>
        <v>无</v>
      </c>
      <c r="G4" s="41" t="str">
        <f t="shared" si="1"/>
        <v>无</v>
      </c>
      <c r="H4" s="41" t="str">
        <f t="shared" si="1"/>
        <v>无</v>
      </c>
      <c r="I4" s="41" t="str">
        <f t="shared" si="1"/>
        <v>无</v>
      </c>
      <c r="J4" s="41" t="str">
        <f t="shared" si="1"/>
        <v>无</v>
      </c>
      <c r="K4" s="41" t="str">
        <f t="shared" si="1"/>
        <v>无</v>
      </c>
      <c r="L4" s="41" t="str">
        <f t="shared" si="1"/>
        <v>无</v>
      </c>
      <c r="M4" s="41" t="str">
        <f t="shared" si="1"/>
        <v>无</v>
      </c>
      <c r="N4" s="41" t="str">
        <f t="shared" si="1"/>
        <v>无</v>
      </c>
      <c r="O4" s="41" t="str">
        <f t="shared" si="1"/>
        <v>无</v>
      </c>
      <c r="P4" s="41" t="str">
        <f t="shared" si="1"/>
        <v>无</v>
      </c>
      <c r="Q4" s="41" t="str">
        <f t="shared" si="1"/>
        <v>无</v>
      </c>
      <c r="R4" s="41" t="str">
        <f t="shared" si="1"/>
        <v>无</v>
      </c>
      <c r="S4" s="41" t="str">
        <f t="shared" si="1"/>
        <v>无</v>
      </c>
      <c r="T4" s="41" t="str">
        <f t="shared" si="1"/>
        <v>无</v>
      </c>
      <c r="U4" s="41" t="str">
        <f t="shared" si="1"/>
        <v>无</v>
      </c>
      <c r="V4" s="41" t="str">
        <f t="shared" si="1"/>
        <v>无</v>
      </c>
      <c r="W4" s="41" t="str">
        <f t="shared" si="1"/>
        <v>无</v>
      </c>
      <c r="X4" s="41" t="str">
        <f t="shared" si="1"/>
        <v>无</v>
      </c>
      <c r="Y4" s="41" t="str">
        <f t="shared" si="1"/>
        <v>无</v>
      </c>
      <c r="Z4" s="41" t="str">
        <f t="shared" si="1"/>
        <v>无</v>
      </c>
      <c r="AA4" s="41" t="str">
        <f t="shared" si="1"/>
        <v>无</v>
      </c>
      <c r="AB4" s="41" t="str">
        <f t="shared" si="1"/>
        <v>无</v>
      </c>
      <c r="AC4" s="41" t="str">
        <f t="shared" si="1"/>
        <v>无</v>
      </c>
      <c r="AD4" s="41" t="str">
        <f t="shared" si="1"/>
        <v>无</v>
      </c>
      <c r="AE4" s="41" t="str">
        <f t="shared" si="1"/>
        <v>无</v>
      </c>
      <c r="AF4" s="41" t="str">
        <f t="shared" si="1"/>
        <v>无</v>
      </c>
      <c r="AG4" s="44" t="e">
        <f>AG2/(AG2+AG3)</f>
        <v>#DIV/0!</v>
      </c>
    </row>
    <row r="5" ht="17.4" spans="1:3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ht="17.4" spans="1:3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ht="17.4" spans="1:33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</row>
    <row r="8" ht="17.4" spans="1:33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ht="17.4" spans="1:3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ht="17.4" spans="1:3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ht="17.4" spans="1:3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ht="17.4" spans="1:3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ht="17.4" spans="1:3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ht="17.4" spans="1:3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0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ht="17.4" spans="1:3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ht="17.4" spans="1:3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ht="17.4" spans="1:3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ht="17.4" spans="1:3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ht="17.4" spans="1:3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ht="17.4" spans="1:3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ht="17.4" spans="1:3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ht="17.4" spans="1:3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ht="17.4" spans="1:3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ht="17.4" spans="1:3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ht="17.4" spans="1:3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ht="17.4" spans="1:3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ht="17.4" spans="1:3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ht="17.4" spans="1:33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ht="17.4" spans="1:3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ht="17.4" spans="1:33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ht="17.4" spans="1:3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ht="17.4" spans="1:3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ht="17.4" spans="1: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 ht="17.4" spans="1:3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ht="17.4" spans="1:3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ht="17.4" spans="1:3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ht="17.4" spans="1:3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ht="17.4" spans="1:3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ht="17.4" spans="1:3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ht="17.4" spans="1:3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ht="17.4" spans="1:3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ht="17.4" spans="1:3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ht="17.4" spans="1:3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ht="17.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ht="17.4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ht="17.4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ht="17.4" spans="1:3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ht="17.4" spans="1:3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ht="17.4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ht="17.4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ht="17.4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ht="17.4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ht="17.4" spans="1:3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ht="17.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ht="17.4" spans="1:3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ht="17.4" spans="1:3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ht="17.4" spans="1:3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ht="17.4" spans="1:3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ht="17.4" spans="1:3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ht="17.4" spans="1:3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ht="17.4" spans="1:3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ht="17.4" spans="1:3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ht="17.4" spans="1:3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ht="17.4" spans="1:3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ht="17.4" spans="1:3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ht="17.4" spans="1:3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ht="17.4" spans="1:3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ht="17.4" spans="1:3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ht="17.4" spans="1:3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ht="17.4" spans="1:3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ht="17.4" spans="1:3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ht="17.4" spans="1:3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ht="17.4" spans="1:3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ht="17.4" spans="1:3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ht="17.4" spans="1:3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ht="17.4" spans="1:3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ht="17.4" spans="1:3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ht="17.4" spans="1:3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ht="17.4" spans="1:3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ht="17.4" spans="1:3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ht="17.4" spans="1:3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ht="17.4" spans="1:3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ht="17.4" spans="1:3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 ht="17.4" spans="1:3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ht="17.4" spans="1:3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ht="17.4" spans="1:3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ht="17.4" spans="1:3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ht="17.4" spans="1:3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ht="17.4" spans="1:3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 ht="17.4" spans="1:3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ht="17.4" spans="1:3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ht="17.4" spans="1:3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ht="17.4" spans="1:3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ht="17.4" spans="1:3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ht="17.4" spans="1:3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ht="17.4" spans="1:3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ht="17.4" spans="1:3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ht="17.4" spans="1:3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 ht="17.4" spans="1:33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 ht="17.4" spans="1:33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 ht="17.4" spans="1:33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ht="17.4" spans="1:33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ht="17.4" spans="1:3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ht="17.4" spans="1:33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ht="17.4" spans="1:33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 ht="17.4" spans="1:33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</row>
    <row r="107" ht="17.4" spans="1:3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 ht="17.4" spans="1:3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 ht="17.4" spans="1:3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 ht="17.4" spans="1:33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 ht="17.4" spans="1:3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 ht="17.4" spans="1:33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 ht="17.4" spans="1:3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 ht="17.4" spans="1:33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ht="17.4" spans="1:33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ht="17.4" spans="1:3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 ht="17.4" spans="1:3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 ht="17.4" spans="1:33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 ht="17.4" spans="1:33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 ht="17.4" spans="1:3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</row>
    <row r="121" ht="17.4" spans="1:3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 ht="17.4" spans="1:33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 ht="17.4" spans="1:3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</row>
    <row r="124" ht="17.4" spans="1:33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 ht="17.4" spans="1:33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</row>
    <row r="126" ht="17.4" spans="1:33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 ht="17.4" spans="1:33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</row>
    <row r="128" ht="17.4" spans="1:33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 ht="17.4" spans="1:33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 ht="17.4" spans="1:33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</row>
    <row r="131" ht="17.4" spans="1:33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 ht="17.4" spans="1:33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</row>
    <row r="133" ht="17.4" spans="1: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 ht="17.4" spans="1:33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 ht="17.4" spans="1:33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 ht="17.4" spans="1:33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 ht="17.4" spans="1:33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 ht="17.4" spans="1:33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</row>
    <row r="139" ht="17.4" spans="1:33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 ht="17.4" spans="1:33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 ht="17.4" spans="1:33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</row>
    <row r="142" ht="17.4" spans="1:33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 ht="17.4" spans="1:3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 ht="17.4" spans="1:33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 ht="17.4" spans="1:33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 ht="17.4" spans="1:33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</row>
    <row r="147" ht="17.4" spans="1:33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</row>
    <row r="148" ht="17.4" spans="1:33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</row>
    <row r="149" ht="17.4" spans="1:33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</row>
    <row r="150" ht="17.4" spans="1:33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</row>
    <row r="151" ht="17.4" spans="1:33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 ht="17.4" spans="1:33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</row>
    <row r="153" ht="17.4" spans="1:3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</row>
    <row r="154" ht="17.4" spans="1:33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</row>
    <row r="155" ht="17.4" spans="1:33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</row>
    <row r="156" ht="17.4" spans="1:33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</row>
    <row r="157" ht="17.4" spans="1:33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</row>
    <row r="158" ht="17.4" spans="1:33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</row>
    <row r="159" ht="17.4" spans="1:33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</row>
    <row r="160" ht="17.4" spans="1:33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</row>
    <row r="161" ht="17.4" spans="1:33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 ht="17.4" spans="1:33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 ht="17.4" spans="1:3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 ht="17.4" spans="1:33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 ht="17.4" spans="1:33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 ht="17.4" spans="1:33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 ht="17.4" spans="1:33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 ht="17.4" spans="1:33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 ht="17.4" spans="1:33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 ht="17.4" spans="1:33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 ht="17.4" spans="1:33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 ht="17.4" spans="1:33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 ht="17.4" spans="1:3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 ht="17.4" spans="1:33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 ht="17.4" spans="1:33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 ht="17.4" spans="1:33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 ht="17.4" spans="1:33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 ht="17.4" spans="1:33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 ht="17.4" spans="1:33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 ht="17.4" spans="1:33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 ht="17.4" spans="1:33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 ht="17.4" spans="1:33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 ht="17.4" spans="1:3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 ht="17.4" spans="1:33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 ht="17.4" spans="1:33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ht="17.4" spans="1:33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ht="17.4" spans="1:33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ht="17.4" spans="1:33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ht="17.4" spans="1:33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ht="17.4" spans="1:33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ht="17.4" spans="1:33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 ht="17.4" spans="1:33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 ht="17.4" spans="1:3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 ht="17.4" spans="1:33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 ht="17.4" spans="1:33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 ht="17.4" spans="1:33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 ht="17.4" spans="1:33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 ht="17.4" spans="1:33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ht="17.4" spans="1:33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 ht="17.4" spans="1:33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 ht="17.4" spans="1:33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zoomScale="90" zoomScaleNormal="90" workbookViewId="0">
      <pane ySplit="2" topLeftCell="A3" activePane="bottomLeft" state="frozen"/>
      <selection/>
      <selection pane="bottomLeft" activeCell="P2" sqref="P2"/>
    </sheetView>
  </sheetViews>
  <sheetFormatPr defaultColWidth="9" defaultRowHeight="13.8"/>
  <cols>
    <col min="1" max="1" width="8" customWidth="1"/>
    <col min="2" max="14" width="16" customWidth="1"/>
    <col min="15" max="15" width="58" customWidth="1"/>
  </cols>
  <sheetData>
    <row r="1" ht="30" customHeight="1" spans="1:15">
      <c r="A1" s="29" t="s">
        <v>5</v>
      </c>
      <c r="B1" s="30" t="s">
        <v>0</v>
      </c>
      <c r="C1" s="30" t="s">
        <v>6</v>
      </c>
      <c r="D1" s="31">
        <v>16</v>
      </c>
      <c r="E1" s="32" t="s">
        <v>7</v>
      </c>
      <c r="F1" s="32"/>
      <c r="G1" s="30" t="s">
        <v>8</v>
      </c>
      <c r="H1" s="33">
        <v>4</v>
      </c>
      <c r="I1" s="32" t="s">
        <v>7</v>
      </c>
      <c r="J1" s="32"/>
      <c r="K1" s="30" t="s">
        <v>9</v>
      </c>
      <c r="L1" s="30"/>
      <c r="M1" s="30"/>
      <c r="N1" s="30"/>
      <c r="O1" s="34" t="s">
        <v>10</v>
      </c>
    </row>
    <row r="2" ht="30" customHeight="1" spans="1:15">
      <c r="A2" s="29"/>
      <c r="B2" s="30"/>
      <c r="C2" s="30" t="s">
        <v>11</v>
      </c>
      <c r="D2" s="30" t="s">
        <v>12</v>
      </c>
      <c r="E2" s="32" t="s">
        <v>13</v>
      </c>
      <c r="F2" s="30" t="s">
        <v>14</v>
      </c>
      <c r="G2" s="30" t="s">
        <v>15</v>
      </c>
      <c r="H2" s="30" t="s">
        <v>16</v>
      </c>
      <c r="I2" s="32" t="s">
        <v>17</v>
      </c>
      <c r="J2" s="30" t="s">
        <v>18</v>
      </c>
      <c r="K2" s="30" t="s">
        <v>19</v>
      </c>
      <c r="L2" s="30" t="s">
        <v>20</v>
      </c>
      <c r="M2" s="32" t="s">
        <v>21</v>
      </c>
      <c r="N2" s="30" t="s">
        <v>22</v>
      </c>
      <c r="O2" s="35" t="s">
        <v>23</v>
      </c>
    </row>
    <row r="3" ht="30" customHeight="1" spans="1:15">
      <c r="A3" s="30">
        <f t="shared" ref="A3:A16" si="0">ROW()-2</f>
        <v>1</v>
      </c>
      <c r="B3" s="30" t="s">
        <v>24</v>
      </c>
      <c r="C3" s="30">
        <f>COUNTIFS('流水帐（会议记录）'!$K:$K,"V",'流水帐（会议记录）'!$J:$J,$B3,'流水帐（会议记录）'!$O:$O,$D$1)</f>
        <v>0</v>
      </c>
      <c r="D3" s="30">
        <f>COUNTIFS('流水帐（会议记录）'!$K:$K,"X",'流水帐（会议记录）'!$J:$J,$B3,'流水帐（会议记录）'!$O:$O,$D$1)</f>
        <v>0</v>
      </c>
      <c r="E3" s="32" t="str">
        <f>IFERROR(C3/(C3+D3),"本周无稽核")</f>
        <v>本周无稽核</v>
      </c>
      <c r="F3" s="30">
        <f>IFERROR(E3*C3,0)</f>
        <v>0</v>
      </c>
      <c r="G3" s="30">
        <f t="array" ref="G3">SUMPRODUCT(('流水帐（会议记录）'!$J$2:$J$9026=B3)*('流水帐（会议记录）'!$K$2:$K$9026="V")*(MONTH('流水帐（会议记录）'!$H$2:$H$9026)=$H$1)*1)</f>
        <v>0</v>
      </c>
      <c r="H3" s="30">
        <f t="array" ref="H3">SUMPRODUCT(('流水帐（会议记录）'!$J$2:$J$9026=$B3)*('流水帐（会议记录）'!$K$2:$K$9026="X")*(MONTH('流水帐（会议记录）'!$H$2:$H$9026)=$H$1)*1)</f>
        <v>0</v>
      </c>
      <c r="I3" s="32" t="str">
        <f>IFERROR(G3/(G3+H3),"本月无稽核")</f>
        <v>本月无稽核</v>
      </c>
      <c r="J3" s="30">
        <f>IFERROR(I3*G3,0)</f>
        <v>0</v>
      </c>
      <c r="K3" s="30">
        <f>COUNTIFS('流水帐（会议记录）'!$K:$K,"V",'流水帐（会议记录）'!$J:$J,$B3)</f>
        <v>0</v>
      </c>
      <c r="L3" s="30">
        <f>COUNTIFS('流水帐（会议记录）'!$K:$K,"X",'流水帐（会议记录）'!$J:$J,$B3)</f>
        <v>0</v>
      </c>
      <c r="M3" s="32" t="e">
        <f t="shared" ref="M3:M16" si="1">K3/(K3+L3)</f>
        <v>#DIV/0!</v>
      </c>
      <c r="N3" s="30" t="e">
        <f t="shared" ref="N3:N16" si="2">M3*K3</f>
        <v>#DIV/0!</v>
      </c>
      <c r="O3" s="36"/>
    </row>
    <row r="4" ht="30" customHeight="1" spans="1:15">
      <c r="A4" s="30">
        <f t="shared" si="0"/>
        <v>2</v>
      </c>
      <c r="B4" s="30" t="s">
        <v>25</v>
      </c>
      <c r="C4" s="30">
        <f>COUNTIFS('流水帐（会议记录）'!$K:$K,"V",'流水帐（会议记录）'!$J:$J,$B4,'流水帐（会议记录）'!$O:$O,$D$1)</f>
        <v>0</v>
      </c>
      <c r="D4" s="30">
        <f>COUNTIFS('流水帐（会议记录）'!$K:$K,"X",'流水帐（会议记录）'!$J:$J,$B4,'流水帐（会议记录）'!$O:$O,$D$1)</f>
        <v>0</v>
      </c>
      <c r="E4" s="32" t="str">
        <f t="shared" ref="E4:E20" si="3">IFERROR(C4/(C4+D4),"本周无稽核")</f>
        <v>本周无稽核</v>
      </c>
      <c r="F4" s="30">
        <f t="shared" ref="F4:F17" si="4">IFERROR(E4*C4,0)</f>
        <v>0</v>
      </c>
      <c r="G4" s="30">
        <f t="array" ref="G4">SUMPRODUCT(('流水帐（会议记录）'!$J$2:$J$9026=B4)*('流水帐（会议记录）'!$K$2:$K$9026="V")*(MONTH('流水帐（会议记录）'!$H$2:$H$9026)=$H$1)*1)</f>
        <v>0</v>
      </c>
      <c r="H4" s="30">
        <f t="array" ref="H4">SUMPRODUCT(('流水帐（会议记录）'!$J$2:$J$9026=$B4)*('流水帐（会议记录）'!$K$2:$K$9026="X")*(MONTH('流水帐（会议记录）'!$H$2:$H$9026)=$H$1)*1)</f>
        <v>0</v>
      </c>
      <c r="I4" s="32" t="str">
        <f t="shared" ref="I4:I16" si="5">IFERROR(G4/(G4+H4),"本月无稽核")</f>
        <v>本月无稽核</v>
      </c>
      <c r="J4" s="30">
        <f t="shared" ref="J4:J16" si="6">IFERROR(I4*G4,0)</f>
        <v>0</v>
      </c>
      <c r="K4" s="30">
        <f>COUNTIFS('流水帐（会议记录）'!$K:$K,"V",'流水帐（会议记录）'!$J:$J,$B4)</f>
        <v>0</v>
      </c>
      <c r="L4" s="30">
        <f>COUNTIFS('流水帐（会议记录）'!$K:$K,"X",'流水帐（会议记录）'!$J:$J,$B4)</f>
        <v>0</v>
      </c>
      <c r="M4" s="32" t="str">
        <f>IFERROR(K4/(K4+L4),"本年无稽核")</f>
        <v>本年无稽核</v>
      </c>
      <c r="N4" s="30">
        <f>IFERROR(M4*K4,0)</f>
        <v>0</v>
      </c>
      <c r="O4" s="36"/>
    </row>
    <row r="5" ht="30" customHeight="1" spans="1:15">
      <c r="A5" s="30">
        <f t="shared" si="0"/>
        <v>3</v>
      </c>
      <c r="B5" s="30" t="s">
        <v>26</v>
      </c>
      <c r="C5" s="30">
        <f>COUNTIFS('流水帐（会议记录）'!$K:$K,"V",'流水帐（会议记录）'!$J:$J,$B5,'流水帐（会议记录）'!$O:$O,$D$1)</f>
        <v>0</v>
      </c>
      <c r="D5" s="30">
        <f>COUNTIFS('流水帐（会议记录）'!$K:$K,"X",'流水帐（会议记录）'!$J:$J,$B5,'流水帐（会议记录）'!$O:$O,$D$1)</f>
        <v>0</v>
      </c>
      <c r="E5" s="32" t="str">
        <f t="shared" si="3"/>
        <v>本周无稽核</v>
      </c>
      <c r="F5" s="30">
        <f t="shared" si="4"/>
        <v>0</v>
      </c>
      <c r="G5" s="30">
        <f t="array" ref="G5">SUMPRODUCT(('流水帐（会议记录）'!$J$2:$J$9026=B5)*('流水帐（会议记录）'!$K$2:$K$9026="V")*(MONTH('流水帐（会议记录）'!$H$2:$H$9026)=$H$1)*1)</f>
        <v>0</v>
      </c>
      <c r="H5" s="30">
        <f t="array" ref="H5">SUMPRODUCT(('流水帐（会议记录）'!$J$2:$J$9026=$B5)*('流水帐（会议记录）'!$K$2:$K$9026="X")*(MONTH('流水帐（会议记录）'!$H$2:$H$9026)=$H$1)*1)</f>
        <v>0</v>
      </c>
      <c r="I5" s="32" t="str">
        <f t="shared" si="5"/>
        <v>本月无稽核</v>
      </c>
      <c r="J5" s="30">
        <f t="shared" si="6"/>
        <v>0</v>
      </c>
      <c r="K5" s="30">
        <f>COUNTIFS('流水帐（会议记录）'!$K:$K,"V",'流水帐（会议记录）'!$J:$J,$B5)</f>
        <v>0</v>
      </c>
      <c r="L5" s="30">
        <f>COUNTIFS('流水帐（会议记录）'!$K:$K,"X",'流水帐（会议记录）'!$J:$J,$B5)</f>
        <v>0</v>
      </c>
      <c r="M5" s="32" t="str">
        <f t="shared" ref="M5:M16" si="7">IFERROR(K5/(K5+L5),"本年无稽核")</f>
        <v>本年无稽核</v>
      </c>
      <c r="N5" s="30">
        <f t="shared" ref="N5:N16" si="8">IFERROR(M5*K5,0)</f>
        <v>0</v>
      </c>
      <c r="O5" s="36"/>
    </row>
    <row r="6" ht="30" customHeight="1" spans="1:15">
      <c r="A6" s="30">
        <f t="shared" si="0"/>
        <v>4</v>
      </c>
      <c r="B6" s="30" t="s">
        <v>27</v>
      </c>
      <c r="C6" s="30">
        <f>COUNTIFS('流水帐（会议记录）'!$K:$K,"V",'流水帐（会议记录）'!$J:$J,$B6,'流水帐（会议记录）'!$O:$O,$D$1)</f>
        <v>0</v>
      </c>
      <c r="D6" s="30">
        <f>COUNTIFS('流水帐（会议记录）'!$K:$K,"X",'流水帐（会议记录）'!$J:$J,$B6,'流水帐（会议记录）'!$O:$O,$D$1)</f>
        <v>0</v>
      </c>
      <c r="E6" s="32" t="str">
        <f t="shared" si="3"/>
        <v>本周无稽核</v>
      </c>
      <c r="F6" s="30">
        <f t="shared" si="4"/>
        <v>0</v>
      </c>
      <c r="G6" s="30">
        <f t="array" ref="G6">SUMPRODUCT(('流水帐（会议记录）'!$J$2:$J$9026=B6)*('流水帐（会议记录）'!$K$2:$K$9026="V")*(MONTH('流水帐（会议记录）'!$H$2:$H$9026)=$H$1)*1)</f>
        <v>0</v>
      </c>
      <c r="H6" s="30">
        <f t="array" ref="H6">SUMPRODUCT(('流水帐（会议记录）'!$J$2:$J$9026=$B6)*('流水帐（会议记录）'!$K$2:$K$9026="X")*(MONTH('流水帐（会议记录）'!$H$2:$H$9026)=$H$1)*1)</f>
        <v>0</v>
      </c>
      <c r="I6" s="32" t="str">
        <f t="shared" si="5"/>
        <v>本月无稽核</v>
      </c>
      <c r="J6" s="30">
        <f t="shared" si="6"/>
        <v>0</v>
      </c>
      <c r="K6" s="30">
        <f>COUNTIFS('流水帐（会议记录）'!$K:$K,"V",'流水帐（会议记录）'!$J:$J,$B6)</f>
        <v>0</v>
      </c>
      <c r="L6" s="30">
        <f>COUNTIFS('流水帐（会议记录）'!$K:$K,"X",'流水帐（会议记录）'!$J:$J,$B6)</f>
        <v>0</v>
      </c>
      <c r="M6" s="32" t="str">
        <f t="shared" si="7"/>
        <v>本年无稽核</v>
      </c>
      <c r="N6" s="30">
        <f t="shared" si="8"/>
        <v>0</v>
      </c>
      <c r="O6" s="36"/>
    </row>
    <row r="7" ht="30" customHeight="1" spans="1:15">
      <c r="A7" s="30">
        <f t="shared" si="0"/>
        <v>5</v>
      </c>
      <c r="B7" s="30" t="s">
        <v>28</v>
      </c>
      <c r="C7" s="30">
        <f>COUNTIFS('流水帐（会议记录）'!$K:$K,"V",'流水帐（会议记录）'!$J:$J,$B7,'流水帐（会议记录）'!$O:$O,$D$1)</f>
        <v>0</v>
      </c>
      <c r="D7" s="30">
        <f>COUNTIFS('流水帐（会议记录）'!$K:$K,"X",'流水帐（会议记录）'!$J:$J,$B7,'流水帐（会议记录）'!$O:$O,$D$1)</f>
        <v>0</v>
      </c>
      <c r="E7" s="32" t="str">
        <f t="shared" si="3"/>
        <v>本周无稽核</v>
      </c>
      <c r="F7" s="30">
        <f t="shared" si="4"/>
        <v>0</v>
      </c>
      <c r="G7" s="30">
        <f t="array" ref="G7">SUMPRODUCT(('流水帐（会议记录）'!$J$2:$J$9026=B7)*('流水帐（会议记录）'!$K$2:$K$9026="V")*(MONTH('流水帐（会议记录）'!$H$2:$H$9026)=$H$1)*1)</f>
        <v>0</v>
      </c>
      <c r="H7" s="30">
        <f t="array" ref="H7">SUMPRODUCT(('流水帐（会议记录）'!$J$2:$J$9026=$B7)*('流水帐（会议记录）'!$K$2:$K$9026="X")*(MONTH('流水帐（会议记录）'!$H$2:$H$9026)=$H$1)*1)</f>
        <v>0</v>
      </c>
      <c r="I7" s="32" t="str">
        <f t="shared" si="5"/>
        <v>本月无稽核</v>
      </c>
      <c r="J7" s="30">
        <f t="shared" si="6"/>
        <v>0</v>
      </c>
      <c r="K7" s="30">
        <f>COUNTIFS('流水帐（会议记录）'!$K:$K,"V",'流水帐（会议记录）'!$J:$J,$B7)</f>
        <v>0</v>
      </c>
      <c r="L7" s="30">
        <f>COUNTIFS('流水帐（会议记录）'!$K:$K,"X",'流水帐（会议记录）'!$J:$J,$B7)</f>
        <v>0</v>
      </c>
      <c r="M7" s="32" t="str">
        <f t="shared" si="7"/>
        <v>本年无稽核</v>
      </c>
      <c r="N7" s="30">
        <f t="shared" si="8"/>
        <v>0</v>
      </c>
      <c r="O7" s="36"/>
    </row>
    <row r="8" ht="30" customHeight="1" spans="1:15">
      <c r="A8" s="30">
        <f t="shared" si="0"/>
        <v>6</v>
      </c>
      <c r="B8" s="30" t="s">
        <v>29</v>
      </c>
      <c r="C8" s="30">
        <f>COUNTIFS('流水帐（会议记录）'!$K:$K,"V",'流水帐（会议记录）'!$J:$J,$B8,'流水帐（会议记录）'!$O:$O,$D$1)</f>
        <v>0</v>
      </c>
      <c r="D8" s="30">
        <f>COUNTIFS('流水帐（会议记录）'!$K:$K,"X",'流水帐（会议记录）'!$J:$J,$B8,'流水帐（会议记录）'!$O:$O,$D$1)</f>
        <v>0</v>
      </c>
      <c r="E8" s="32" t="str">
        <f t="shared" si="3"/>
        <v>本周无稽核</v>
      </c>
      <c r="F8" s="30">
        <f t="shared" si="4"/>
        <v>0</v>
      </c>
      <c r="G8" s="30">
        <f t="array" ref="G8">SUMPRODUCT(('流水帐（会议记录）'!$J$2:$J$9026=B8)*('流水帐（会议记录）'!$K$2:$K$9026="V")*(MONTH('流水帐（会议记录）'!$H$2:$H$9026)=$H$1)*1)</f>
        <v>0</v>
      </c>
      <c r="H8" s="30">
        <f t="array" ref="H8">SUMPRODUCT(('流水帐（会议记录）'!$J$2:$J$9026=$B8)*('流水帐（会议记录）'!$K$2:$K$9026="X")*(MONTH('流水帐（会议记录）'!$H$2:$H$9026)=$H$1)*1)</f>
        <v>0</v>
      </c>
      <c r="I8" s="32" t="str">
        <f t="shared" si="5"/>
        <v>本月无稽核</v>
      </c>
      <c r="J8" s="30">
        <f t="shared" si="6"/>
        <v>0</v>
      </c>
      <c r="K8" s="30">
        <f>COUNTIFS('流水帐（会议记录）'!$K:$K,"V",'流水帐（会议记录）'!$J:$J,$B8)</f>
        <v>0</v>
      </c>
      <c r="L8" s="30">
        <f>COUNTIFS('流水帐（会议记录）'!$K:$K,"X",'流水帐（会议记录）'!$J:$J,$B8)</f>
        <v>0</v>
      </c>
      <c r="M8" s="32" t="str">
        <f t="shared" si="7"/>
        <v>本年无稽核</v>
      </c>
      <c r="N8" s="30">
        <f t="shared" si="8"/>
        <v>0</v>
      </c>
      <c r="O8" s="36"/>
    </row>
    <row r="9" ht="30" customHeight="1" spans="1:15">
      <c r="A9" s="30">
        <f t="shared" si="0"/>
        <v>7</v>
      </c>
      <c r="B9" s="30" t="s">
        <v>30</v>
      </c>
      <c r="C9" s="30">
        <f>COUNTIFS('流水帐（会议记录）'!$K:$K,"V",'流水帐（会议记录）'!$J:$J,$B9,'流水帐（会议记录）'!$O:$O,$D$1)</f>
        <v>0</v>
      </c>
      <c r="D9" s="30">
        <f>COUNTIFS('流水帐（会议记录）'!$K:$K,"X",'流水帐（会议记录）'!$J:$J,$B9,'流水帐（会议记录）'!$O:$O,$D$1)</f>
        <v>0</v>
      </c>
      <c r="E9" s="32" t="str">
        <f t="shared" si="3"/>
        <v>本周无稽核</v>
      </c>
      <c r="F9" s="30">
        <f t="shared" si="4"/>
        <v>0</v>
      </c>
      <c r="G9" s="30">
        <f t="array" ref="G9">SUMPRODUCT(('流水帐（会议记录）'!$J$2:$J$9026=B9)*('流水帐（会议记录）'!$K$2:$K$9026="V")*(MONTH('流水帐（会议记录）'!$H$2:$H$9026)=$H$1)*1)</f>
        <v>0</v>
      </c>
      <c r="H9" s="30">
        <f t="array" ref="H9">SUMPRODUCT(('流水帐（会议记录）'!$J$2:$J$9026=$B9)*('流水帐（会议记录）'!$K$2:$K$9026="X")*(MONTH('流水帐（会议记录）'!$H$2:$H$9026)=$H$1)*1)</f>
        <v>0</v>
      </c>
      <c r="I9" s="32" t="str">
        <f t="shared" si="5"/>
        <v>本月无稽核</v>
      </c>
      <c r="J9" s="30">
        <f t="shared" si="6"/>
        <v>0</v>
      </c>
      <c r="K9" s="30">
        <f>COUNTIFS('流水帐（会议记录）'!$K:$K,"V",'流水帐（会议记录）'!$J:$J,$B9)</f>
        <v>0</v>
      </c>
      <c r="L9" s="30">
        <f>COUNTIFS('流水帐（会议记录）'!$K:$K,"X",'流水帐（会议记录）'!$J:$J,$B9)</f>
        <v>0</v>
      </c>
      <c r="M9" s="32" t="str">
        <f t="shared" si="7"/>
        <v>本年无稽核</v>
      </c>
      <c r="N9" s="30">
        <f t="shared" si="8"/>
        <v>0</v>
      </c>
      <c r="O9" s="36"/>
    </row>
    <row r="10" ht="30" customHeight="1" spans="1:15">
      <c r="A10" s="30">
        <f t="shared" si="0"/>
        <v>8</v>
      </c>
      <c r="B10" s="30" t="s">
        <v>31</v>
      </c>
      <c r="C10" s="30">
        <f>COUNTIFS('流水帐（会议记录）'!$K:$K,"V",'流水帐（会议记录）'!$J:$J,$B10,'流水帐（会议记录）'!$O:$O,$D$1)</f>
        <v>0</v>
      </c>
      <c r="D10" s="30">
        <f>COUNTIFS('流水帐（会议记录）'!$K:$K,"X",'流水帐（会议记录）'!$J:$J,$B10,'流水帐（会议记录）'!$O:$O,$D$1)</f>
        <v>0</v>
      </c>
      <c r="E10" s="32" t="str">
        <f t="shared" si="3"/>
        <v>本周无稽核</v>
      </c>
      <c r="F10" s="30">
        <f t="shared" si="4"/>
        <v>0</v>
      </c>
      <c r="G10" s="30">
        <f t="array" ref="G10">SUMPRODUCT(('流水帐（会议记录）'!$J$2:$J$9026=B10)*('流水帐（会议记录）'!$K$2:$K$9026="V")*(MONTH('流水帐（会议记录）'!$H$2:$H$9026)=$H$1)*1)</f>
        <v>0</v>
      </c>
      <c r="H10" s="30">
        <f t="array" ref="H10">SUMPRODUCT(('流水帐（会议记录）'!$J$2:$J$9026=$B10)*('流水帐（会议记录）'!$K$2:$K$9026="X")*(MONTH('流水帐（会议记录）'!$H$2:$H$9026)=$H$1)*1)</f>
        <v>0</v>
      </c>
      <c r="I10" s="32" t="str">
        <f t="shared" si="5"/>
        <v>本月无稽核</v>
      </c>
      <c r="J10" s="30">
        <f t="shared" si="6"/>
        <v>0</v>
      </c>
      <c r="K10" s="30">
        <f>COUNTIFS('流水帐（会议记录）'!$K:$K,"V",'流水帐（会议记录）'!$J:$J,$B10)</f>
        <v>0</v>
      </c>
      <c r="L10" s="30">
        <f>COUNTIFS('流水帐（会议记录）'!$K:$K,"X",'流水帐（会议记录）'!$J:$J,$B10)</f>
        <v>0</v>
      </c>
      <c r="M10" s="32" t="str">
        <f t="shared" si="7"/>
        <v>本年无稽核</v>
      </c>
      <c r="N10" s="30">
        <f t="shared" si="8"/>
        <v>0</v>
      </c>
      <c r="O10" s="36"/>
    </row>
    <row r="11" ht="30" customHeight="1" spans="1:15">
      <c r="A11" s="30">
        <f t="shared" si="0"/>
        <v>9</v>
      </c>
      <c r="B11" s="30" t="s">
        <v>32</v>
      </c>
      <c r="C11" s="30">
        <f>COUNTIFS('流水帐（会议记录）'!$K:$K,"V",'流水帐（会议记录）'!$J:$J,$B11,'流水帐（会议记录）'!$O:$O,$D$1)</f>
        <v>0</v>
      </c>
      <c r="D11" s="30">
        <f>COUNTIFS('流水帐（会议记录）'!$K:$K,"X",'流水帐（会议记录）'!$J:$J,$B11,'流水帐（会议记录）'!$O:$O,$D$1)</f>
        <v>0</v>
      </c>
      <c r="E11" s="32" t="str">
        <f t="shared" si="3"/>
        <v>本周无稽核</v>
      </c>
      <c r="F11" s="30">
        <f t="shared" si="4"/>
        <v>0</v>
      </c>
      <c r="G11" s="30">
        <f t="array" ref="G11">SUMPRODUCT(('流水帐（会议记录）'!$J$2:$J$9026=B11)*('流水帐（会议记录）'!$K$2:$K$9026="V")*(MONTH('流水帐（会议记录）'!$H$2:$H$9026)=$H$1)*1)</f>
        <v>0</v>
      </c>
      <c r="H11" s="30">
        <f t="array" ref="H11">SUMPRODUCT(('流水帐（会议记录）'!$J$2:$J$9026=$B11)*('流水帐（会议记录）'!$K$2:$K$9026="X")*(MONTH('流水帐（会议记录）'!$H$2:$H$9026)=$H$1)*1)</f>
        <v>0</v>
      </c>
      <c r="I11" s="32" t="str">
        <f t="shared" si="5"/>
        <v>本月无稽核</v>
      </c>
      <c r="J11" s="30">
        <f t="shared" si="6"/>
        <v>0</v>
      </c>
      <c r="K11" s="30">
        <f>COUNTIFS('流水帐（会议记录）'!$K:$K,"V",'流水帐（会议记录）'!$J:$J,$B11)</f>
        <v>0</v>
      </c>
      <c r="L11" s="30">
        <f>COUNTIFS('流水帐（会议记录）'!$K:$K,"X",'流水帐（会议记录）'!$J:$J,$B11)</f>
        <v>0</v>
      </c>
      <c r="M11" s="32" t="str">
        <f t="shared" si="7"/>
        <v>本年无稽核</v>
      </c>
      <c r="N11" s="30">
        <f t="shared" si="8"/>
        <v>0</v>
      </c>
      <c r="O11" s="36"/>
    </row>
    <row r="12" ht="30" customHeight="1" spans="1:15">
      <c r="A12" s="30">
        <f t="shared" si="0"/>
        <v>10</v>
      </c>
      <c r="B12" s="30" t="s">
        <v>33</v>
      </c>
      <c r="C12" s="30">
        <f>COUNTIFS('流水帐（会议记录）'!$K:$K,"V",'流水帐（会议记录）'!$J:$J,$B12,'流水帐（会议记录）'!$O:$O,$D$1)</f>
        <v>0</v>
      </c>
      <c r="D12" s="30">
        <f>COUNTIFS('流水帐（会议记录）'!$K:$K,"X",'流水帐（会议记录）'!$J:$J,$B12,'流水帐（会议记录）'!$O:$O,$D$1)</f>
        <v>0</v>
      </c>
      <c r="E12" s="32" t="str">
        <f t="shared" si="3"/>
        <v>本周无稽核</v>
      </c>
      <c r="F12" s="30">
        <f t="shared" si="4"/>
        <v>0</v>
      </c>
      <c r="G12" s="30">
        <f t="array" ref="G12">SUMPRODUCT(('流水帐（会议记录）'!$J$2:$J$9026=B12)*('流水帐（会议记录）'!$K$2:$K$9026="V")*(MONTH('流水帐（会议记录）'!$H$2:$H$9026)=$H$1)*1)</f>
        <v>0</v>
      </c>
      <c r="H12" s="30">
        <f t="array" ref="H12">SUMPRODUCT(('流水帐（会议记录）'!$J$2:$J$9026=$B12)*('流水帐（会议记录）'!$K$2:$K$9026="X")*(MONTH('流水帐（会议记录）'!$H$2:$H$9026)=$H$1)*1)</f>
        <v>0</v>
      </c>
      <c r="I12" s="32" t="str">
        <f t="shared" si="5"/>
        <v>本月无稽核</v>
      </c>
      <c r="J12" s="30">
        <f t="shared" si="6"/>
        <v>0</v>
      </c>
      <c r="K12" s="30">
        <f>COUNTIFS('流水帐（会议记录）'!$K:$K,"V",'流水帐（会议记录）'!$J:$J,$B12)</f>
        <v>0</v>
      </c>
      <c r="L12" s="30">
        <f>COUNTIFS('流水帐（会议记录）'!$K:$K,"X",'流水帐（会议记录）'!$J:$J,$B12)</f>
        <v>0</v>
      </c>
      <c r="M12" s="32" t="str">
        <f t="shared" si="7"/>
        <v>本年无稽核</v>
      </c>
      <c r="N12" s="30">
        <f t="shared" si="8"/>
        <v>0</v>
      </c>
      <c r="O12" s="36"/>
    </row>
    <row r="13" ht="30" customHeight="1" spans="1:15">
      <c r="A13" s="30">
        <f t="shared" si="0"/>
        <v>11</v>
      </c>
      <c r="B13" s="30" t="s">
        <v>34</v>
      </c>
      <c r="C13" s="30">
        <f>COUNTIFS('流水帐（会议记录）'!$K:$K,"V",'流水帐（会议记录）'!$J:$J,$B13,'流水帐（会议记录）'!$O:$O,$D$1)</f>
        <v>0</v>
      </c>
      <c r="D13" s="30">
        <f>COUNTIFS('流水帐（会议记录）'!$K:$K,"X",'流水帐（会议记录）'!$J:$J,$B13,'流水帐（会议记录）'!$O:$O,$D$1)</f>
        <v>0</v>
      </c>
      <c r="E13" s="32" t="str">
        <f t="shared" si="3"/>
        <v>本周无稽核</v>
      </c>
      <c r="F13" s="30">
        <f t="shared" si="4"/>
        <v>0</v>
      </c>
      <c r="G13" s="30">
        <f t="array" ref="G13">SUMPRODUCT(('流水帐（会议记录）'!$J$2:$J$9026=B13)*('流水帐（会议记录）'!$K$2:$K$9026="V")*(MONTH('流水帐（会议记录）'!$H$2:$H$9026)=$H$1)*1)</f>
        <v>0</v>
      </c>
      <c r="H13" s="30">
        <f t="array" ref="H13">SUMPRODUCT(('流水帐（会议记录）'!$J$2:$J$9026=$B13)*('流水帐（会议记录）'!$K$2:$K$9026="X")*(MONTH('流水帐（会议记录）'!$H$2:$H$9026)=$H$1)*1)</f>
        <v>0</v>
      </c>
      <c r="I13" s="32" t="str">
        <f t="shared" si="5"/>
        <v>本月无稽核</v>
      </c>
      <c r="J13" s="30">
        <f t="shared" si="6"/>
        <v>0</v>
      </c>
      <c r="K13" s="30">
        <f>COUNTIFS('流水帐（会议记录）'!$K:$K,"V",'流水帐（会议记录）'!$J:$J,$B13)</f>
        <v>0</v>
      </c>
      <c r="L13" s="30">
        <f>COUNTIFS('流水帐（会议记录）'!$K:$K,"X",'流水帐（会议记录）'!$J:$J,$B13)</f>
        <v>0</v>
      </c>
      <c r="M13" s="32" t="str">
        <f t="shared" si="7"/>
        <v>本年无稽核</v>
      </c>
      <c r="N13" s="30">
        <f t="shared" si="8"/>
        <v>0</v>
      </c>
      <c r="O13" s="36"/>
    </row>
    <row r="14" ht="30" customHeight="1" spans="1:15">
      <c r="A14" s="30">
        <f t="shared" si="0"/>
        <v>12</v>
      </c>
      <c r="B14" s="30" t="s">
        <v>35</v>
      </c>
      <c r="C14" s="30">
        <f>COUNTIFS('流水帐（会议记录）'!$K:$K,"V",'流水帐（会议记录）'!$J:$J,$B14,'流水帐（会议记录）'!$O:$O,$D$1)</f>
        <v>0</v>
      </c>
      <c r="D14" s="30">
        <f>COUNTIFS('流水帐（会议记录）'!$K:$K,"X",'流水帐（会议记录）'!$J:$J,$B14,'流水帐（会议记录）'!$O:$O,$D$1)</f>
        <v>0</v>
      </c>
      <c r="E14" s="32" t="str">
        <f t="shared" si="3"/>
        <v>本周无稽核</v>
      </c>
      <c r="F14" s="30">
        <f t="shared" si="4"/>
        <v>0</v>
      </c>
      <c r="G14" s="30">
        <f t="array" ref="G14">SUMPRODUCT(('流水帐（会议记录）'!$J$2:$J$9026=B14)*('流水帐（会议记录）'!$K$2:$K$9026="V")*(MONTH('流水帐（会议记录）'!$H$2:$H$9026)=$H$1)*1)</f>
        <v>0</v>
      </c>
      <c r="H14" s="30">
        <f t="array" ref="H14">SUMPRODUCT(('流水帐（会议记录）'!$J$2:$J$9026=$B14)*('流水帐（会议记录）'!$K$2:$K$9026="X")*(MONTH('流水帐（会议记录）'!$H$2:$H$9026)=$H$1)*1)</f>
        <v>0</v>
      </c>
      <c r="I14" s="32" t="str">
        <f t="shared" si="5"/>
        <v>本月无稽核</v>
      </c>
      <c r="J14" s="30">
        <f t="shared" si="6"/>
        <v>0</v>
      </c>
      <c r="K14" s="30">
        <f>COUNTIFS('流水帐（会议记录）'!$K:$K,"V",'流水帐（会议记录）'!$J:$J,$B14)</f>
        <v>0</v>
      </c>
      <c r="L14" s="30">
        <f>COUNTIFS('流水帐（会议记录）'!$K:$K,"X",'流水帐（会议记录）'!$J:$J,$B14)</f>
        <v>0</v>
      </c>
      <c r="M14" s="32" t="str">
        <f t="shared" si="7"/>
        <v>本年无稽核</v>
      </c>
      <c r="N14" s="30">
        <f t="shared" si="8"/>
        <v>0</v>
      </c>
      <c r="O14" s="36"/>
    </row>
    <row r="15" ht="30" customHeight="1" spans="1:15">
      <c r="A15" s="30">
        <f t="shared" si="0"/>
        <v>13</v>
      </c>
      <c r="B15" s="30" t="s">
        <v>36</v>
      </c>
      <c r="C15" s="30">
        <f>COUNTIFS('流水帐（会议记录）'!$K:$K,"V",'流水帐（会议记录）'!$J:$J,$B15,'流水帐（会议记录）'!$O:$O,$D$1)</f>
        <v>0</v>
      </c>
      <c r="D15" s="30">
        <f>COUNTIFS('流水帐（会议记录）'!$K:$K,"X",'流水帐（会议记录）'!$J:$J,$B15,'流水帐（会议记录）'!$O:$O,$D$1)</f>
        <v>0</v>
      </c>
      <c r="E15" s="32" t="str">
        <f t="shared" si="3"/>
        <v>本周无稽核</v>
      </c>
      <c r="F15" s="30">
        <f t="shared" si="4"/>
        <v>0</v>
      </c>
      <c r="G15" s="30">
        <f t="array" ref="G15">SUMPRODUCT(('流水帐（会议记录）'!$J$2:$J$9026=B15)*('流水帐（会议记录）'!$K$2:$K$9026="V")*(MONTH('流水帐（会议记录）'!$H$2:$H$9026)=$H$1)*1)</f>
        <v>1</v>
      </c>
      <c r="H15" s="30">
        <f t="array" ref="H15">SUMPRODUCT(('流水帐（会议记录）'!$J$2:$J$9026=$B15)*('流水帐（会议记录）'!$K$2:$K$9026="X")*(MONTH('流水帐（会议记录）'!$H$2:$H$9026)=$H$1)*1)</f>
        <v>0</v>
      </c>
      <c r="I15" s="32">
        <f t="shared" si="5"/>
        <v>1</v>
      </c>
      <c r="J15" s="30">
        <f t="shared" si="6"/>
        <v>1</v>
      </c>
      <c r="K15" s="30">
        <f>COUNTIFS('流水帐（会议记录）'!$K:$K,"V",'流水帐（会议记录）'!$J:$J,$B15)</f>
        <v>1</v>
      </c>
      <c r="L15" s="30">
        <f>COUNTIFS('流水帐（会议记录）'!$K:$K,"X",'流水帐（会议记录）'!$J:$J,$B15)</f>
        <v>0</v>
      </c>
      <c r="M15" s="32">
        <f t="shared" si="7"/>
        <v>1</v>
      </c>
      <c r="N15" s="30">
        <f t="shared" si="8"/>
        <v>1</v>
      </c>
      <c r="O15" s="36"/>
    </row>
    <row r="16" ht="30" customHeight="1" spans="1:15">
      <c r="A16" s="30">
        <f t="shared" si="0"/>
        <v>14</v>
      </c>
      <c r="B16" s="30" t="s">
        <v>37</v>
      </c>
      <c r="C16" s="30">
        <f>COUNTIFS('流水帐（会议记录）'!$K:$K,"V",'流水帐（会议记录）'!$J:$J,$B16,'流水帐（会议记录）'!$O:$O,$D$1)</f>
        <v>0</v>
      </c>
      <c r="D16" s="30">
        <f>COUNTIFS('流水帐（会议记录）'!$K:$K,"X",'流水帐（会议记录）'!$J:$J,$B16,'流水帐（会议记录）'!$O:$O,$D$1)</f>
        <v>0</v>
      </c>
      <c r="E16" s="32" t="str">
        <f t="shared" si="3"/>
        <v>本周无稽核</v>
      </c>
      <c r="F16" s="30">
        <f t="shared" si="4"/>
        <v>0</v>
      </c>
      <c r="G16" s="30">
        <f t="array" ref="G16">SUMPRODUCT(('流水帐（会议记录）'!$J$2:$J$9026=B16)*('流水帐（会议记录）'!$K$2:$K$9026="V")*(MONTH('流水帐（会议记录）'!$H$2:$H$9026)=$H$1)*1)</f>
        <v>0</v>
      </c>
      <c r="H16" s="30">
        <f t="array" ref="H16">SUMPRODUCT(('流水帐（会议记录）'!$J$2:$J$9026=$B16)*('流水帐（会议记录）'!$K$2:$K$9026="X")*(MONTH('流水帐（会议记录）'!$H$2:$H$9026)=$H$1)*1)</f>
        <v>0</v>
      </c>
      <c r="I16" s="32" t="str">
        <f t="shared" si="5"/>
        <v>本月无稽核</v>
      </c>
      <c r="J16" s="30">
        <f t="shared" si="6"/>
        <v>0</v>
      </c>
      <c r="K16" s="30">
        <f>COUNTIFS('流水帐（会议记录）'!$K:$K,"V",'流水帐（会议记录）'!$J:$J,$B16)</f>
        <v>0</v>
      </c>
      <c r="L16" s="30">
        <f>COUNTIFS('流水帐（会议记录）'!$K:$K,"X",'流水帐（会议记录）'!$J:$J,$B16)</f>
        <v>0</v>
      </c>
      <c r="M16" s="32" t="str">
        <f t="shared" si="7"/>
        <v>本年无稽核</v>
      </c>
      <c r="N16" s="30">
        <f t="shared" si="8"/>
        <v>0</v>
      </c>
      <c r="O16" s="36"/>
    </row>
    <row r="17" ht="17.4" spans="1:15">
      <c r="A17" s="30"/>
      <c r="B17" s="30"/>
      <c r="C17" s="30"/>
      <c r="D17" s="30"/>
      <c r="E17" s="32"/>
      <c r="F17" s="30"/>
      <c r="G17" s="30"/>
      <c r="H17" s="30"/>
      <c r="I17" s="30"/>
      <c r="J17" s="30"/>
      <c r="K17" s="30"/>
      <c r="L17" s="30"/>
      <c r="M17" s="30"/>
      <c r="N17" s="30"/>
      <c r="O17" s="36"/>
    </row>
    <row r="18" ht="17.4" spans="1:15">
      <c r="A18" s="30"/>
      <c r="B18" s="30"/>
      <c r="C18" s="30"/>
      <c r="D18" s="30"/>
      <c r="E18" s="32"/>
      <c r="F18" s="30"/>
      <c r="G18" s="30"/>
      <c r="H18" s="30"/>
      <c r="I18" s="30"/>
      <c r="J18" s="30"/>
      <c r="K18" s="30"/>
      <c r="L18" s="30"/>
      <c r="M18" s="30"/>
      <c r="N18" s="30"/>
      <c r="O18" s="36"/>
    </row>
    <row r="19" ht="17.4" spans="1:15">
      <c r="A19" s="30"/>
      <c r="B19" s="30"/>
      <c r="C19" s="30"/>
      <c r="D19" s="30"/>
      <c r="E19" s="32"/>
      <c r="F19" s="30"/>
      <c r="G19" s="30"/>
      <c r="H19" s="30"/>
      <c r="I19" s="30"/>
      <c r="J19" s="30"/>
      <c r="K19" s="30"/>
      <c r="L19" s="30"/>
      <c r="M19" s="30"/>
      <c r="N19" s="30"/>
      <c r="O19" s="36"/>
    </row>
    <row r="20" ht="17.4" spans="1:1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6"/>
    </row>
    <row r="21" ht="17.4" spans="1:1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6"/>
    </row>
    <row r="22" ht="17.4" spans="1:1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6"/>
    </row>
    <row r="23" ht="17.4" spans="1:1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6"/>
    </row>
    <row r="24" ht="17.4" spans="1:1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6"/>
    </row>
    <row r="25" ht="17.4" spans="1:1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6"/>
    </row>
    <row r="26" ht="17.4" spans="1:1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6"/>
    </row>
    <row r="27" ht="17.4" spans="1:1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6"/>
    </row>
    <row r="28" ht="17.4" spans="1:1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6"/>
    </row>
    <row r="29" ht="17.4" spans="1:1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6"/>
    </row>
    <row r="30" ht="17.4" spans="1:1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6"/>
    </row>
    <row r="31" ht="17.4" spans="1:1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6"/>
    </row>
    <row r="32" ht="17.4" spans="1:1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6"/>
    </row>
    <row r="33" ht="17.4" spans="1:1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6"/>
    </row>
    <row r="34" ht="17.4" spans="1:1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6"/>
    </row>
    <row r="35" ht="17.4" spans="1:1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6"/>
    </row>
    <row r="36" ht="17.4" spans="1: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6"/>
    </row>
    <row r="37" ht="17.4" spans="1:1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6"/>
    </row>
    <row r="38" ht="17.4" spans="1:1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6"/>
    </row>
    <row r="39" ht="17.4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6"/>
    </row>
    <row r="40" ht="17.4" spans="1: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6"/>
    </row>
    <row r="41" ht="17.4" spans="1:1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6"/>
    </row>
    <row r="42" ht="17.4" spans="1:1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6"/>
    </row>
    <row r="43" ht="17.4" spans="1:1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6"/>
    </row>
    <row r="44" ht="17.4" spans="1:1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6"/>
    </row>
    <row r="45" ht="17.4" spans="1:1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6"/>
    </row>
    <row r="46" ht="17.4" spans="1:1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6"/>
    </row>
    <row r="47" ht="17.4" spans="1:1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6"/>
    </row>
    <row r="48" ht="17.4" spans="1:1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6"/>
    </row>
    <row r="49" ht="17.4" spans="1:1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6"/>
    </row>
    <row r="50" ht="17.4" spans="1:1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6"/>
    </row>
    <row r="51" ht="17.4" spans="1:1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6"/>
    </row>
    <row r="52" ht="17.4" spans="1:1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6"/>
    </row>
    <row r="53" ht="17.4" spans="1:1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6"/>
    </row>
    <row r="54" ht="17.4" spans="1:1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6"/>
    </row>
    <row r="55" ht="17.4" spans="1:1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6"/>
    </row>
    <row r="56" ht="17.4" spans="1:1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6"/>
    </row>
    <row r="57" ht="17.4" spans="1:1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6"/>
    </row>
    <row r="58" ht="17.4" spans="1:1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6"/>
    </row>
    <row r="59" ht="17.4" spans="1:1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6"/>
    </row>
    <row r="60" ht="17.4" spans="1:1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6"/>
    </row>
    <row r="61" ht="17.4" spans="1:1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6"/>
    </row>
    <row r="62" ht="17.4" spans="1:1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6"/>
    </row>
    <row r="63" ht="17.4" spans="1:1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6"/>
    </row>
    <row r="64" ht="17.4" spans="1:1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6"/>
    </row>
    <row r="65" ht="17.4" spans="1:1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6"/>
    </row>
    <row r="66" ht="17.4" spans="1:1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6"/>
    </row>
    <row r="67" ht="17.4" spans="1:1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6"/>
    </row>
    <row r="68" ht="17.4" spans="1:1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6"/>
    </row>
    <row r="69" ht="17.4" spans="1:1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6"/>
    </row>
    <row r="70" ht="17.4" spans="1:1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6"/>
    </row>
    <row r="71" ht="17.4" spans="1:1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6"/>
    </row>
    <row r="72" ht="17.4" spans="1:1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6"/>
    </row>
    <row r="73" ht="17.4" spans="1:1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6"/>
    </row>
    <row r="74" ht="17.4" spans="1:1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6"/>
    </row>
    <row r="75" ht="17.4" spans="1:1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6"/>
    </row>
    <row r="76" ht="17.4" spans="1:1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6"/>
    </row>
    <row r="77" ht="17.4" spans="1:1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6"/>
    </row>
    <row r="78" ht="17.4" spans="1:1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6"/>
    </row>
    <row r="79" ht="17.4" spans="1:1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6"/>
    </row>
    <row r="80" ht="17.4" spans="1:1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6"/>
    </row>
    <row r="81" ht="17.4" spans="1:1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6"/>
    </row>
    <row r="82" ht="17.4" spans="1:1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6"/>
    </row>
    <row r="83" ht="17.4" spans="1:1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6"/>
    </row>
    <row r="84" ht="17.4" spans="1:1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6"/>
    </row>
    <row r="85" ht="17.4" spans="1:1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6"/>
    </row>
    <row r="86" ht="17.4" spans="1:1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6"/>
    </row>
    <row r="87" ht="17.4" spans="1:1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6"/>
    </row>
    <row r="88" ht="17.4" spans="1:1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6"/>
    </row>
    <row r="89" ht="17.4" spans="1:1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6"/>
    </row>
    <row r="90" ht="17.4" spans="1:1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6"/>
    </row>
    <row r="91" ht="17.4" spans="1:1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6"/>
    </row>
    <row r="92" ht="17.4" spans="1:1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6"/>
    </row>
    <row r="93" ht="17.4" spans="1:1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6"/>
    </row>
    <row r="94" ht="17.4" spans="1:1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6"/>
    </row>
    <row r="95" ht="17.4" spans="1:1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6"/>
    </row>
    <row r="96" ht="17.4" spans="1:1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6"/>
    </row>
    <row r="97" ht="17.4" spans="1:1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6"/>
    </row>
    <row r="98" ht="17.4" spans="1:1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6"/>
    </row>
    <row r="99" ht="17.4" spans="1:1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6"/>
    </row>
    <row r="100" ht="17.4" spans="1:1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6"/>
    </row>
    <row r="101" ht="17.4" spans="1:1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6"/>
    </row>
    <row r="102" ht="17.4" spans="1:1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6"/>
    </row>
    <row r="103" ht="17.4" spans="1:1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6"/>
    </row>
    <row r="104" ht="17.4" spans="1:1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6"/>
    </row>
    <row r="105" ht="17.4" spans="1:1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6"/>
    </row>
    <row r="106" ht="17.4" spans="1:1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6"/>
    </row>
    <row r="107" ht="17.4" spans="1:1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6"/>
    </row>
    <row r="108" ht="17.4" spans="1:1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6"/>
    </row>
    <row r="109" ht="17.4" spans="1:1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6"/>
    </row>
    <row r="110" ht="17.4" spans="1:1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6"/>
    </row>
    <row r="111" ht="17.4" spans="1:1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6"/>
    </row>
    <row r="112" ht="17.4" spans="1:1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6"/>
    </row>
    <row r="113" ht="17.4" spans="1:1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6"/>
    </row>
    <row r="114" ht="17.4" spans="1:1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6"/>
    </row>
    <row r="115" ht="17.4" spans="1: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6"/>
    </row>
    <row r="116" ht="17.4" spans="1:1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6"/>
    </row>
    <row r="117" ht="17.4" spans="1:1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6"/>
    </row>
    <row r="118" ht="17.4" spans="1:1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6"/>
    </row>
    <row r="119" ht="17.4" spans="1:1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6"/>
    </row>
    <row r="120" ht="17.4" spans="1:1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6"/>
    </row>
    <row r="121" ht="17.4" spans="1:1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6"/>
    </row>
    <row r="122" ht="17.4" spans="1:1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6"/>
    </row>
    <row r="123" ht="17.4" spans="1:1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6"/>
    </row>
    <row r="124" ht="17.4" spans="1:1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6"/>
    </row>
    <row r="125" ht="17.4" spans="1:1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6"/>
    </row>
    <row r="126" ht="17.4" spans="1:1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6"/>
    </row>
    <row r="127" ht="17.4" spans="1: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6"/>
    </row>
    <row r="128" ht="17.4" spans="1:1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6"/>
    </row>
    <row r="129" ht="17.4" spans="1:1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6"/>
    </row>
    <row r="130" ht="17.4" spans="1:1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6"/>
    </row>
    <row r="131" ht="17.4" spans="1:1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6"/>
    </row>
    <row r="132" ht="17.4" spans="1:1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6"/>
    </row>
    <row r="133" ht="17.4" spans="1:1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6"/>
    </row>
    <row r="134" ht="17.4" spans="1:1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6"/>
    </row>
    <row r="135" ht="17.4" spans="1:1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6"/>
    </row>
    <row r="136" ht="17.4" spans="1:1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6"/>
    </row>
    <row r="137" ht="17.4" spans="1:1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6"/>
    </row>
    <row r="138" ht="17.4" spans="1:1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6"/>
    </row>
    <row r="139" ht="17.4" spans="1:1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6"/>
    </row>
    <row r="140" ht="17.4" spans="1:1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6"/>
    </row>
    <row r="141" ht="17.4" spans="1:1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6"/>
    </row>
    <row r="142" ht="17.4" spans="1:1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6"/>
    </row>
    <row r="143" ht="17.4" spans="1:1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6"/>
    </row>
    <row r="144" ht="17.4" spans="1:1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6"/>
    </row>
    <row r="145" ht="17.4" spans="1:1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6"/>
    </row>
    <row r="146" ht="17.4" spans="1:1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6"/>
    </row>
    <row r="147" ht="17.4" spans="1:1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6"/>
    </row>
    <row r="148" ht="17.4" spans="1:1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6"/>
    </row>
    <row r="149" ht="17.4" spans="1:1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6"/>
    </row>
    <row r="150" ht="17.4" spans="1:1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6"/>
    </row>
    <row r="151" ht="17.4" spans="1:1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6"/>
    </row>
    <row r="152" ht="17.4" spans="1:1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6"/>
    </row>
    <row r="153" ht="17.4" spans="1:1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6"/>
    </row>
    <row r="154" ht="17.4" spans="1:1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6"/>
    </row>
    <row r="155" ht="17.4" spans="1:1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6"/>
    </row>
    <row r="156" ht="17.4" spans="1:1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6"/>
    </row>
    <row r="157" ht="17.4" spans="1:1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6"/>
    </row>
    <row r="158" ht="17.4" spans="1:1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6"/>
    </row>
    <row r="159" ht="17.4" spans="1:1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6"/>
    </row>
    <row r="160" ht="17.4" spans="1:1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6"/>
    </row>
    <row r="161" ht="17.4" spans="1:1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6"/>
    </row>
    <row r="162" ht="17.4" spans="1: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6"/>
    </row>
    <row r="163" ht="17.4" spans="1:1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6"/>
    </row>
    <row r="164" ht="17.4" spans="1:1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6"/>
    </row>
    <row r="165" ht="17.4" spans="1:1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6"/>
    </row>
    <row r="166" ht="17.4" spans="1:1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6"/>
    </row>
    <row r="167" ht="17.4" spans="1:1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6"/>
    </row>
    <row r="168" ht="17.4" spans="1:1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6"/>
    </row>
    <row r="169" ht="17.4" spans="1:1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6"/>
    </row>
    <row r="170" ht="17.4" spans="1:1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6"/>
    </row>
    <row r="171" ht="17.4" spans="1:1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6"/>
    </row>
    <row r="172" ht="17.4" spans="1:1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6"/>
    </row>
    <row r="173" ht="17.4" spans="1:1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6"/>
    </row>
    <row r="174" ht="17.4" spans="1:1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6"/>
    </row>
    <row r="175" ht="17.4" spans="1:1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6"/>
    </row>
    <row r="176" ht="17.4" spans="1:1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6"/>
    </row>
    <row r="177" ht="17.4" spans="1:1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6"/>
    </row>
    <row r="178" ht="17.4" spans="1:1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6"/>
    </row>
    <row r="179" ht="17.4" spans="1:1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6"/>
    </row>
    <row r="180" ht="17.4" spans="1:1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6"/>
    </row>
    <row r="181" ht="17.4" spans="1:1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6"/>
    </row>
    <row r="182" ht="17.4" spans="1:1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6"/>
    </row>
    <row r="183" ht="17.4" spans="1: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6"/>
    </row>
    <row r="184" ht="17.4" spans="1:1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6"/>
    </row>
    <row r="185" ht="17.4" spans="1:1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6"/>
    </row>
    <row r="186" ht="17.4" spans="1:1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6"/>
    </row>
    <row r="187" ht="17.4" spans="1:1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6"/>
    </row>
    <row r="188" ht="17.4" spans="1:1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6"/>
    </row>
    <row r="189" ht="17.4" spans="1:1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6"/>
    </row>
    <row r="190" ht="17.4" spans="1:1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6"/>
    </row>
    <row r="191" ht="17.4" spans="1:1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6"/>
    </row>
    <row r="192" ht="17.4" spans="1:1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6"/>
    </row>
    <row r="193" ht="17.4" spans="1:1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6"/>
    </row>
    <row r="194" ht="17.4" spans="1:1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6"/>
    </row>
    <row r="195" ht="17.4" spans="1:1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6"/>
    </row>
    <row r="196" ht="17.4" spans="1:1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6"/>
    </row>
    <row r="197" ht="17.4" spans="1:1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6"/>
    </row>
    <row r="198" ht="17.4" spans="1:1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6"/>
    </row>
    <row r="199" ht="17.4" spans="1:1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6"/>
    </row>
    <row r="200" ht="17.4" spans="1:1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6"/>
    </row>
  </sheetData>
  <autoFilter ref="A2:O16">
    <extLst/>
  </autoFilter>
  <mergeCells count="5">
    <mergeCell ref="E1:F1"/>
    <mergeCell ref="I1:J1"/>
    <mergeCell ref="K1:N1"/>
    <mergeCell ref="A1:A2"/>
    <mergeCell ref="B1:B2"/>
  </mergeCells>
  <conditionalFormatting sqref="E$1:E$104857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{4d38dc33-b491-44e9-93d9-ef70bf85d044}</x14:id>
        </ext>
      </extLst>
    </cfRule>
  </conditionalFormatting>
  <conditionalFormatting sqref="F$1:F$1048576">
    <cfRule type="aboveAverage" dxfId="0" priority="9" aboveAverage="0" equalAverage="1"/>
  </conditionalFormatting>
  <conditionalFormatting sqref="I$1:I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{69dc9d8d-5622-4c8c-aa73-abe620dacc98}</x14:id>
        </ext>
      </extLst>
    </cfRule>
  </conditionalFormatting>
  <conditionalFormatting sqref="J$1:J$1048576">
    <cfRule type="aboveAverage" priority="7" aboveAverage="0" equalAverage="1"/>
    <cfRule type="aboveAverage" dxfId="0" priority="6" aboveAverage="0" equalAverage="1"/>
  </conditionalFormatting>
  <conditionalFormatting sqref="M4:M1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{fbb9ca83-7474-49d8-af06-e847d5371ad8}</x14:id>
        </ext>
      </extLst>
    </cfRule>
  </conditionalFormatting>
  <conditionalFormatting sqref="N4:N16">
    <cfRule type="aboveAverage" priority="2" aboveAverage="0" equalAverage="1"/>
    <cfRule type="aboveAverage" dxfId="0" priority="1" aboveAverage="0" equalAverage="1"/>
  </conditionalFormatting>
  <conditionalFormatting sqref="M1:M3 M17:M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{8e1ccabf-ce30-4dfe-bfe3-b58f9a5f7198}</x14:id>
        </ext>
      </extLst>
    </cfRule>
  </conditionalFormatting>
  <conditionalFormatting sqref="N1:N3 N17:N1048576">
    <cfRule type="aboveAverage" dxfId="0" priority="4" aboveAverage="0" equalAverage="1"/>
  </conditionalFormatting>
  <dataValidations count="1">
    <dataValidation type="list" allowBlank="1" showInputMessage="1" showErrorMessage="1" sqref="D1 H1">
      <formula1>基准数据库!#REF!</formula1>
    </dataValidation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38dc33-b491-44e9-93d9-ef70bf85d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E$1:E$1048576</xm:sqref>
        </x14:conditionalFormatting>
        <x14:conditionalFormatting xmlns:xm="http://schemas.microsoft.com/office/excel/2006/main">
          <x14:cfRule type="dataBar" id="{69dc9d8d-5622-4c8c-aa73-abe620dacc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I$1:I$1048576</xm:sqref>
        </x14:conditionalFormatting>
        <x14:conditionalFormatting xmlns:xm="http://schemas.microsoft.com/office/excel/2006/main">
          <x14:cfRule type="dataBar" id="{fbb9ca83-7474-49d8-af06-e847d5371a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M4:M16</xm:sqref>
        </x14:conditionalFormatting>
        <x14:conditionalFormatting xmlns:xm="http://schemas.microsoft.com/office/excel/2006/main">
          <x14:cfRule type="dataBar" id="{8e1ccabf-ce30-4dfe-bfe3-b58f9a5f71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M1:M3 M17:M1048576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9"/>
  <sheetViews>
    <sheetView tabSelected="1" workbookViewId="0">
      <pane ySplit="1" topLeftCell="A2" activePane="bottomLeft" state="frozen"/>
      <selection/>
      <selection pane="bottomLeft" activeCell="M5" sqref="M5"/>
    </sheetView>
  </sheetViews>
  <sheetFormatPr defaultColWidth="9" defaultRowHeight="17.4"/>
  <cols>
    <col min="1" max="1" width="8.88888888888889" style="9" customWidth="1"/>
    <col min="2" max="2" width="7" style="9" customWidth="1"/>
    <col min="3" max="3" width="8.88888888888889" style="10" customWidth="1"/>
    <col min="4" max="4" width="10.1296296296296" style="10" customWidth="1"/>
    <col min="5" max="5" width="9.66666666666667" style="10" customWidth="1"/>
    <col min="6" max="6" width="10.4444444444444" style="10" customWidth="1"/>
    <col min="7" max="7" width="58.3333333333333" style="10" customWidth="1"/>
    <col min="8" max="8" width="9.12962962962963" style="10" customWidth="1"/>
    <col min="9" max="9" width="7.25" style="10" customWidth="1"/>
    <col min="10" max="10" width="8.62962962962963" style="10" customWidth="1"/>
    <col min="11" max="11" width="6.12962962962963" style="10" customWidth="1"/>
    <col min="12" max="12" width="6.12962962962963" style="9" customWidth="1"/>
    <col min="13" max="13" width="6.12962962962963" style="10" customWidth="1"/>
    <col min="14" max="14" width="7.77777777777778" style="9" customWidth="1"/>
    <col min="15" max="15" width="7.33333333333333" style="9" customWidth="1"/>
    <col min="16" max="16" width="24.5555555555556" style="11" customWidth="1"/>
  </cols>
  <sheetData>
    <row r="1" spans="1:16">
      <c r="A1" s="12" t="s">
        <v>38</v>
      </c>
      <c r="B1" s="12" t="s">
        <v>39</v>
      </c>
      <c r="C1" s="13" t="s">
        <v>40</v>
      </c>
      <c r="D1" s="14" t="s">
        <v>41</v>
      </c>
      <c r="E1" s="13" t="s">
        <v>42</v>
      </c>
      <c r="F1" s="13" t="s">
        <v>43</v>
      </c>
      <c r="G1" s="13" t="s">
        <v>44</v>
      </c>
      <c r="H1" s="13" t="s">
        <v>45</v>
      </c>
      <c r="I1" s="25" t="s">
        <v>40</v>
      </c>
      <c r="J1" s="25" t="s">
        <v>0</v>
      </c>
      <c r="K1" s="25" t="s">
        <v>46</v>
      </c>
      <c r="L1" s="23" t="s">
        <v>47</v>
      </c>
      <c r="M1" s="18" t="s">
        <v>48</v>
      </c>
      <c r="N1" s="26" t="s">
        <v>49</v>
      </c>
      <c r="O1" s="12" t="s">
        <v>39</v>
      </c>
      <c r="P1" s="11" t="s">
        <v>50</v>
      </c>
    </row>
    <row r="2" spans="1:16">
      <c r="A2" s="15">
        <f>YEAR(E2)</f>
        <v>2023</v>
      </c>
      <c r="B2" s="16">
        <f>WEEKNUM(E2)</f>
        <v>11</v>
      </c>
      <c r="C2" s="17" t="s">
        <v>51</v>
      </c>
      <c r="D2" s="18" t="s">
        <v>52</v>
      </c>
      <c r="E2" s="19">
        <v>45003</v>
      </c>
      <c r="F2" s="17" t="s">
        <v>53</v>
      </c>
      <c r="G2" s="20" t="s">
        <v>54</v>
      </c>
      <c r="H2" s="21">
        <v>45017</v>
      </c>
      <c r="I2" s="17" t="s">
        <v>55</v>
      </c>
      <c r="J2" s="17" t="s">
        <v>36</v>
      </c>
      <c r="K2" s="18" t="s">
        <v>56</v>
      </c>
      <c r="L2" s="23" t="str">
        <f>IF(K2="V","1",IF(K2="X","-1",0))</f>
        <v>1</v>
      </c>
      <c r="M2" s="18"/>
      <c r="N2" s="26">
        <f>MONTH(H2)</f>
        <v>4</v>
      </c>
      <c r="O2" s="16">
        <f>WEEKNUM(H2)</f>
        <v>13</v>
      </c>
      <c r="P2" s="27"/>
    </row>
    <row r="3" ht="24" customHeight="1" spans="1:16">
      <c r="A3" s="22"/>
      <c r="B3" s="23"/>
      <c r="C3" s="17"/>
      <c r="D3" s="17"/>
      <c r="E3" s="21"/>
      <c r="F3" s="17"/>
      <c r="G3" s="24"/>
      <c r="H3" s="21"/>
      <c r="I3" s="17"/>
      <c r="J3" s="17"/>
      <c r="K3" s="18"/>
      <c r="L3" s="23"/>
      <c r="M3" s="18"/>
      <c r="N3" s="26"/>
      <c r="O3" s="16"/>
      <c r="P3" s="27"/>
    </row>
    <row r="4" ht="24" customHeight="1" spans="1:16">
      <c r="A4" s="22"/>
      <c r="B4" s="23"/>
      <c r="C4" s="17"/>
      <c r="D4" s="17"/>
      <c r="E4" s="21"/>
      <c r="F4" s="17"/>
      <c r="G4" s="24"/>
      <c r="H4" s="21"/>
      <c r="I4" s="17"/>
      <c r="J4" s="17"/>
      <c r="K4" s="18"/>
      <c r="L4" s="23"/>
      <c r="M4" s="18"/>
      <c r="N4" s="26"/>
      <c r="O4" s="16"/>
      <c r="P4" s="27"/>
    </row>
    <row r="5" ht="24" customHeight="1" spans="1:16">
      <c r="A5" s="22"/>
      <c r="B5" s="23"/>
      <c r="C5" s="17"/>
      <c r="D5" s="17"/>
      <c r="E5" s="21"/>
      <c r="F5" s="17"/>
      <c r="G5" s="24"/>
      <c r="H5" s="21"/>
      <c r="I5" s="17"/>
      <c r="J5" s="17"/>
      <c r="K5" s="18"/>
      <c r="L5" s="23"/>
      <c r="M5" s="18"/>
      <c r="N5" s="26"/>
      <c r="O5" s="16"/>
      <c r="P5" s="27"/>
    </row>
    <row r="6" ht="24" customHeight="1" spans="1:16">
      <c r="A6" s="22"/>
      <c r="B6" s="23"/>
      <c r="C6" s="17"/>
      <c r="D6" s="17"/>
      <c r="E6" s="21"/>
      <c r="F6" s="17"/>
      <c r="G6" s="24"/>
      <c r="H6" s="21"/>
      <c r="I6" s="17"/>
      <c r="J6" s="17"/>
      <c r="K6" s="18"/>
      <c r="L6" s="23"/>
      <c r="M6" s="18"/>
      <c r="N6" s="26"/>
      <c r="O6" s="16"/>
      <c r="P6" s="27"/>
    </row>
    <row r="7" ht="24" customHeight="1" spans="1:16">
      <c r="A7" s="22"/>
      <c r="B7" s="23"/>
      <c r="C7" s="17"/>
      <c r="D7" s="17"/>
      <c r="E7" s="21"/>
      <c r="F7" s="17"/>
      <c r="G7" s="24"/>
      <c r="H7" s="21"/>
      <c r="I7" s="17"/>
      <c r="J7" s="17"/>
      <c r="K7" s="18"/>
      <c r="L7" s="23"/>
      <c r="M7" s="18"/>
      <c r="N7" s="26"/>
      <c r="O7" s="16"/>
      <c r="P7" s="27"/>
    </row>
    <row r="8" ht="24" customHeight="1" spans="1:16">
      <c r="A8" s="22"/>
      <c r="B8" s="23"/>
      <c r="C8" s="17"/>
      <c r="D8" s="17"/>
      <c r="E8" s="21"/>
      <c r="F8" s="17"/>
      <c r="G8" s="24"/>
      <c r="H8" s="21"/>
      <c r="I8" s="17"/>
      <c r="J8" s="17"/>
      <c r="K8" s="18"/>
      <c r="L8" s="23"/>
      <c r="M8" s="18"/>
      <c r="N8" s="26"/>
      <c r="O8" s="16"/>
      <c r="P8" s="27"/>
    </row>
    <row r="9" ht="24" customHeight="1" spans="1:16">
      <c r="A9" s="22"/>
      <c r="B9" s="23"/>
      <c r="C9" s="17"/>
      <c r="D9" s="17"/>
      <c r="E9" s="21"/>
      <c r="F9" s="17"/>
      <c r="G9" s="24"/>
      <c r="H9" s="21"/>
      <c r="I9" s="17"/>
      <c r="J9" s="17"/>
      <c r="K9" s="18"/>
      <c r="L9" s="23"/>
      <c r="M9" s="18"/>
      <c r="N9" s="26"/>
      <c r="O9" s="16"/>
      <c r="P9" s="27"/>
    </row>
    <row r="10" ht="24" customHeight="1" spans="1:16">
      <c r="A10" s="22"/>
      <c r="B10" s="23"/>
      <c r="C10" s="17"/>
      <c r="D10" s="17"/>
      <c r="E10" s="21"/>
      <c r="F10" s="17"/>
      <c r="G10" s="24"/>
      <c r="H10" s="21"/>
      <c r="I10" s="17"/>
      <c r="J10" s="17"/>
      <c r="K10" s="18"/>
      <c r="L10" s="23"/>
      <c r="M10" s="18"/>
      <c r="N10" s="26"/>
      <c r="O10" s="16"/>
      <c r="P10" s="27"/>
    </row>
    <row r="11" ht="24" customHeight="1" spans="1:16">
      <c r="A11" s="22"/>
      <c r="B11" s="23"/>
      <c r="C11" s="17"/>
      <c r="D11" s="17"/>
      <c r="E11" s="21"/>
      <c r="F11" s="17"/>
      <c r="G11" s="24"/>
      <c r="H11" s="21"/>
      <c r="I11" s="17"/>
      <c r="J11" s="17"/>
      <c r="K11" s="18"/>
      <c r="L11" s="23"/>
      <c r="M11" s="18"/>
      <c r="N11" s="26"/>
      <c r="O11" s="16"/>
      <c r="P11" s="27"/>
    </row>
    <row r="12" ht="24" customHeight="1" spans="1:16">
      <c r="A12" s="22"/>
      <c r="B12" s="23"/>
      <c r="C12" s="17"/>
      <c r="D12" s="17"/>
      <c r="E12" s="21"/>
      <c r="F12" s="17"/>
      <c r="G12" s="24"/>
      <c r="H12" s="21"/>
      <c r="I12" s="17"/>
      <c r="J12" s="17"/>
      <c r="K12" s="18"/>
      <c r="L12" s="23"/>
      <c r="M12" s="18"/>
      <c r="N12" s="26"/>
      <c r="O12" s="16"/>
      <c r="P12" s="27"/>
    </row>
    <row r="13" ht="24" customHeight="1" spans="1:16">
      <c r="A13" s="22"/>
      <c r="B13" s="23"/>
      <c r="C13" s="17"/>
      <c r="D13" s="17"/>
      <c r="E13" s="21"/>
      <c r="F13" s="17"/>
      <c r="G13" s="24"/>
      <c r="H13" s="21"/>
      <c r="I13" s="17"/>
      <c r="J13" s="17"/>
      <c r="K13" s="18"/>
      <c r="L13" s="23"/>
      <c r="M13" s="18"/>
      <c r="N13" s="26"/>
      <c r="O13" s="16"/>
      <c r="P13" s="27"/>
    </row>
    <row r="14" ht="24" customHeight="1" spans="1:16">
      <c r="A14" s="22"/>
      <c r="B14" s="23"/>
      <c r="C14" s="17"/>
      <c r="D14" s="17"/>
      <c r="E14" s="21"/>
      <c r="F14" s="17"/>
      <c r="G14" s="24"/>
      <c r="H14" s="21"/>
      <c r="I14" s="17"/>
      <c r="J14" s="17"/>
      <c r="K14" s="18"/>
      <c r="L14" s="23"/>
      <c r="M14" s="18"/>
      <c r="N14" s="26"/>
      <c r="O14" s="16"/>
      <c r="P14" s="27"/>
    </row>
    <row r="15" ht="24" customHeight="1" spans="1:16">
      <c r="A15" s="22"/>
      <c r="B15" s="23"/>
      <c r="C15" s="17"/>
      <c r="D15" s="17"/>
      <c r="E15" s="21"/>
      <c r="F15" s="17"/>
      <c r="G15" s="24"/>
      <c r="H15" s="21"/>
      <c r="I15" s="17"/>
      <c r="J15" s="17"/>
      <c r="K15" s="18"/>
      <c r="L15" s="23"/>
      <c r="M15" s="18"/>
      <c r="N15" s="26"/>
      <c r="O15" s="16"/>
      <c r="P15" s="27"/>
    </row>
    <row r="16" ht="24" customHeight="1" spans="1:16">
      <c r="A16" s="22"/>
      <c r="B16" s="23"/>
      <c r="C16" s="17"/>
      <c r="D16" s="17"/>
      <c r="E16" s="21"/>
      <c r="F16" s="17"/>
      <c r="G16" s="24"/>
      <c r="H16" s="21"/>
      <c r="I16" s="17"/>
      <c r="J16" s="17"/>
      <c r="K16" s="18"/>
      <c r="L16" s="23"/>
      <c r="M16" s="18"/>
      <c r="N16" s="26"/>
      <c r="O16" s="16"/>
      <c r="P16" s="27"/>
    </row>
    <row r="17" ht="24" customHeight="1" spans="1:16">
      <c r="A17" s="22"/>
      <c r="B17" s="23"/>
      <c r="C17" s="17"/>
      <c r="D17" s="17"/>
      <c r="E17" s="21"/>
      <c r="F17" s="17"/>
      <c r="G17" s="24"/>
      <c r="H17" s="21"/>
      <c r="I17" s="17"/>
      <c r="J17" s="17"/>
      <c r="K17" s="18"/>
      <c r="L17" s="23"/>
      <c r="M17" s="18"/>
      <c r="N17" s="26"/>
      <c r="O17" s="16"/>
      <c r="P17" s="27"/>
    </row>
    <row r="18" ht="24" customHeight="1" spans="1:16">
      <c r="A18" s="22"/>
      <c r="B18" s="23"/>
      <c r="C18" s="17"/>
      <c r="D18" s="17"/>
      <c r="E18" s="21"/>
      <c r="F18" s="17"/>
      <c r="G18" s="24"/>
      <c r="H18" s="21"/>
      <c r="I18" s="17"/>
      <c r="J18" s="17"/>
      <c r="K18" s="18"/>
      <c r="L18" s="23"/>
      <c r="M18" s="18"/>
      <c r="N18" s="26"/>
      <c r="O18" s="16"/>
      <c r="P18" s="27"/>
    </row>
    <row r="19" ht="24" customHeight="1" spans="1:16">
      <c r="A19" s="22"/>
      <c r="B19" s="23"/>
      <c r="C19" s="17"/>
      <c r="D19" s="17"/>
      <c r="E19" s="21"/>
      <c r="F19" s="17"/>
      <c r="G19" s="24"/>
      <c r="H19" s="21"/>
      <c r="I19" s="17"/>
      <c r="J19" s="17"/>
      <c r="K19" s="18"/>
      <c r="L19" s="23"/>
      <c r="M19" s="18"/>
      <c r="N19" s="26"/>
      <c r="O19" s="16"/>
      <c r="P19" s="27"/>
    </row>
    <row r="20" ht="24" customHeight="1" spans="1:16">
      <c r="A20" s="22"/>
      <c r="B20" s="23"/>
      <c r="C20" s="17"/>
      <c r="D20" s="17"/>
      <c r="E20" s="21"/>
      <c r="F20" s="17"/>
      <c r="G20" s="24"/>
      <c r="H20" s="21"/>
      <c r="I20" s="17"/>
      <c r="J20" s="17"/>
      <c r="K20" s="18"/>
      <c r="L20" s="23"/>
      <c r="M20" s="18"/>
      <c r="N20" s="26"/>
      <c r="O20" s="16"/>
      <c r="P20" s="27"/>
    </row>
    <row r="21" ht="24" customHeight="1" spans="1:16">
      <c r="A21" s="22"/>
      <c r="B21" s="23"/>
      <c r="C21" s="17"/>
      <c r="D21" s="17"/>
      <c r="E21" s="21"/>
      <c r="F21" s="17"/>
      <c r="G21" s="24"/>
      <c r="H21" s="21"/>
      <c r="I21" s="17"/>
      <c r="J21" s="17"/>
      <c r="K21" s="18"/>
      <c r="L21" s="23"/>
      <c r="M21" s="18"/>
      <c r="N21" s="26"/>
      <c r="O21" s="16"/>
      <c r="P21" s="27"/>
    </row>
    <row r="22" ht="24" customHeight="1" spans="1:16">
      <c r="A22" s="22"/>
      <c r="B22" s="23"/>
      <c r="C22" s="17"/>
      <c r="D22" s="17"/>
      <c r="E22" s="21"/>
      <c r="F22" s="17"/>
      <c r="G22" s="24"/>
      <c r="H22" s="21"/>
      <c r="I22" s="17"/>
      <c r="J22" s="17"/>
      <c r="K22" s="18"/>
      <c r="L22" s="23"/>
      <c r="M22" s="18"/>
      <c r="N22" s="26"/>
      <c r="O22" s="16"/>
      <c r="P22" s="27"/>
    </row>
    <row r="23" ht="24" customHeight="1" spans="1:16">
      <c r="A23" s="22"/>
      <c r="B23" s="23"/>
      <c r="C23" s="17"/>
      <c r="D23" s="17"/>
      <c r="E23" s="21"/>
      <c r="F23" s="17"/>
      <c r="G23" s="24"/>
      <c r="H23" s="21"/>
      <c r="I23" s="17"/>
      <c r="J23" s="17"/>
      <c r="K23" s="18"/>
      <c r="L23" s="23"/>
      <c r="M23" s="18"/>
      <c r="N23" s="26"/>
      <c r="O23" s="16"/>
      <c r="P23" s="27"/>
    </row>
    <row r="24" ht="24" customHeight="1" spans="1:16">
      <c r="A24" s="22"/>
      <c r="B24" s="23"/>
      <c r="C24" s="17"/>
      <c r="D24" s="17"/>
      <c r="E24" s="21"/>
      <c r="F24" s="17"/>
      <c r="G24" s="24"/>
      <c r="H24" s="21"/>
      <c r="I24" s="17"/>
      <c r="J24" s="17"/>
      <c r="K24" s="18"/>
      <c r="L24" s="23"/>
      <c r="M24" s="18"/>
      <c r="N24" s="26"/>
      <c r="O24" s="16"/>
      <c r="P24" s="27"/>
    </row>
    <row r="25" ht="24" customHeight="1" spans="1:16">
      <c r="A25" s="22"/>
      <c r="B25" s="23"/>
      <c r="C25" s="17"/>
      <c r="D25" s="17"/>
      <c r="E25" s="21"/>
      <c r="F25" s="17"/>
      <c r="G25" s="24"/>
      <c r="H25" s="21"/>
      <c r="I25" s="17"/>
      <c r="J25" s="17"/>
      <c r="K25" s="18"/>
      <c r="L25" s="23"/>
      <c r="M25" s="18"/>
      <c r="N25" s="26"/>
      <c r="O25" s="16"/>
      <c r="P25" s="27"/>
    </row>
    <row r="26" ht="24" customHeight="1" spans="1:16">
      <c r="A26" s="22"/>
      <c r="B26" s="23"/>
      <c r="C26" s="17"/>
      <c r="D26" s="17"/>
      <c r="E26" s="21"/>
      <c r="F26" s="17"/>
      <c r="G26" s="24"/>
      <c r="H26" s="21"/>
      <c r="I26" s="17"/>
      <c r="J26" s="17"/>
      <c r="K26" s="18"/>
      <c r="L26" s="23"/>
      <c r="M26" s="18"/>
      <c r="N26" s="26"/>
      <c r="O26" s="16"/>
      <c r="P26" s="27"/>
    </row>
    <row r="27" ht="24" customHeight="1" spans="1:16">
      <c r="A27" s="22"/>
      <c r="B27" s="23"/>
      <c r="C27" s="17"/>
      <c r="D27" s="17"/>
      <c r="E27" s="21"/>
      <c r="F27" s="17"/>
      <c r="G27" s="24"/>
      <c r="H27" s="21"/>
      <c r="I27" s="17"/>
      <c r="J27" s="17"/>
      <c r="K27" s="18"/>
      <c r="L27" s="23"/>
      <c r="M27" s="18"/>
      <c r="N27" s="26"/>
      <c r="O27" s="16"/>
      <c r="P27" s="28"/>
    </row>
    <row r="28" ht="24" customHeight="1" spans="1:16">
      <c r="A28" s="22"/>
      <c r="B28" s="23"/>
      <c r="C28" s="17"/>
      <c r="D28" s="17"/>
      <c r="E28" s="21"/>
      <c r="F28" s="17"/>
      <c r="G28" s="24"/>
      <c r="H28" s="21"/>
      <c r="I28" s="17"/>
      <c r="J28" s="17"/>
      <c r="K28" s="18"/>
      <c r="L28" s="23"/>
      <c r="M28" s="18"/>
      <c r="N28" s="26"/>
      <c r="O28" s="16"/>
      <c r="P28" s="28"/>
    </row>
    <row r="29" ht="24" customHeight="1" spans="1:16">
      <c r="A29" s="22"/>
      <c r="B29" s="23"/>
      <c r="C29" s="17"/>
      <c r="D29" s="17"/>
      <c r="E29" s="21"/>
      <c r="F29" s="17"/>
      <c r="G29" s="24"/>
      <c r="H29" s="21"/>
      <c r="I29" s="17"/>
      <c r="J29" s="17"/>
      <c r="K29" s="18"/>
      <c r="L29" s="23"/>
      <c r="M29" s="18"/>
      <c r="N29" s="26"/>
      <c r="O29" s="16"/>
      <c r="P29" s="27"/>
    </row>
    <row r="30" ht="24" customHeight="1" spans="1:16">
      <c r="A30" s="22"/>
      <c r="B30" s="23"/>
      <c r="C30" s="17"/>
      <c r="D30" s="17"/>
      <c r="E30" s="21"/>
      <c r="F30" s="17"/>
      <c r="G30" s="24"/>
      <c r="H30" s="21"/>
      <c r="I30" s="17"/>
      <c r="J30" s="17"/>
      <c r="K30" s="18"/>
      <c r="L30" s="23"/>
      <c r="M30" s="18"/>
      <c r="N30" s="26"/>
      <c r="O30" s="16"/>
      <c r="P30" s="27"/>
    </row>
    <row r="31" ht="24" customHeight="1" spans="1:16">
      <c r="A31" s="22"/>
      <c r="B31" s="23"/>
      <c r="C31" s="17"/>
      <c r="D31" s="17"/>
      <c r="E31" s="21"/>
      <c r="F31" s="17"/>
      <c r="G31" s="24"/>
      <c r="H31" s="21"/>
      <c r="I31" s="17"/>
      <c r="J31" s="17"/>
      <c r="K31" s="18"/>
      <c r="L31" s="23"/>
      <c r="M31" s="18"/>
      <c r="N31" s="26"/>
      <c r="O31" s="16"/>
      <c r="P31" s="27"/>
    </row>
    <row r="32" ht="24" customHeight="1" spans="1:16">
      <c r="A32" s="22"/>
      <c r="B32" s="23"/>
      <c r="C32" s="17"/>
      <c r="D32" s="17"/>
      <c r="E32" s="21"/>
      <c r="F32" s="17"/>
      <c r="G32" s="24"/>
      <c r="H32" s="21"/>
      <c r="I32" s="17"/>
      <c r="J32" s="17"/>
      <c r="K32" s="18"/>
      <c r="L32" s="23"/>
      <c r="M32" s="18"/>
      <c r="N32" s="26"/>
      <c r="O32" s="16"/>
      <c r="P32" s="27"/>
    </row>
    <row r="33" ht="24" customHeight="1" spans="1:16">
      <c r="A33" s="22"/>
      <c r="B33" s="23"/>
      <c r="C33" s="17"/>
      <c r="D33" s="17"/>
      <c r="E33" s="21"/>
      <c r="F33" s="17"/>
      <c r="G33" s="24"/>
      <c r="H33" s="21"/>
      <c r="I33" s="17"/>
      <c r="J33" s="17"/>
      <c r="K33" s="18"/>
      <c r="L33" s="23"/>
      <c r="M33" s="18"/>
      <c r="N33" s="26"/>
      <c r="O33" s="16"/>
      <c r="P33" s="27"/>
    </row>
    <row r="34" ht="24" customHeight="1" spans="1:16">
      <c r="A34" s="22"/>
      <c r="B34" s="23"/>
      <c r="C34" s="17"/>
      <c r="D34" s="17"/>
      <c r="E34" s="21"/>
      <c r="F34" s="17"/>
      <c r="G34" s="24"/>
      <c r="H34" s="21"/>
      <c r="I34" s="17"/>
      <c r="J34" s="17"/>
      <c r="K34" s="18"/>
      <c r="L34" s="23"/>
      <c r="M34" s="18"/>
      <c r="N34" s="26"/>
      <c r="O34" s="16"/>
      <c r="P34" s="27"/>
    </row>
    <row r="35" ht="24" customHeight="1" spans="1:16">
      <c r="A35" s="22"/>
      <c r="B35" s="23"/>
      <c r="C35" s="17"/>
      <c r="D35" s="17"/>
      <c r="E35" s="21"/>
      <c r="F35" s="17"/>
      <c r="G35" s="24"/>
      <c r="H35" s="21"/>
      <c r="I35" s="17"/>
      <c r="J35" s="17"/>
      <c r="K35" s="18"/>
      <c r="L35" s="23"/>
      <c r="M35" s="18"/>
      <c r="N35" s="26"/>
      <c r="O35" s="16"/>
      <c r="P35" s="27"/>
    </row>
    <row r="36" ht="24" customHeight="1" spans="1:16">
      <c r="A36" s="22"/>
      <c r="B36" s="23"/>
      <c r="C36" s="17"/>
      <c r="D36" s="17"/>
      <c r="E36" s="21"/>
      <c r="F36" s="17"/>
      <c r="G36" s="24"/>
      <c r="H36" s="21"/>
      <c r="I36" s="17"/>
      <c r="J36" s="17"/>
      <c r="K36" s="18"/>
      <c r="L36" s="23"/>
      <c r="M36" s="18"/>
      <c r="N36" s="26"/>
      <c r="O36" s="16"/>
      <c r="P36" s="27"/>
    </row>
    <row r="37" ht="24" customHeight="1" spans="1:16">
      <c r="A37" s="22"/>
      <c r="B37" s="23"/>
      <c r="C37" s="17"/>
      <c r="D37" s="17"/>
      <c r="E37" s="21"/>
      <c r="F37" s="17"/>
      <c r="G37" s="24"/>
      <c r="H37" s="21"/>
      <c r="I37" s="17"/>
      <c r="J37" s="17"/>
      <c r="K37" s="18"/>
      <c r="L37" s="23"/>
      <c r="M37" s="18"/>
      <c r="N37" s="26"/>
      <c r="O37" s="16"/>
      <c r="P37" s="27"/>
    </row>
    <row r="38" ht="24" customHeight="1" spans="1:16">
      <c r="A38" s="22"/>
      <c r="B38" s="23"/>
      <c r="C38" s="17"/>
      <c r="D38" s="17"/>
      <c r="E38" s="21"/>
      <c r="F38" s="17"/>
      <c r="G38" s="24"/>
      <c r="H38" s="21"/>
      <c r="I38" s="17"/>
      <c r="J38" s="17"/>
      <c r="K38" s="18"/>
      <c r="L38" s="23"/>
      <c r="M38" s="18"/>
      <c r="N38" s="26"/>
      <c r="O38" s="16"/>
      <c r="P38" s="27"/>
    </row>
    <row r="39" ht="24" customHeight="1" spans="1:16">
      <c r="A39" s="22"/>
      <c r="B39" s="23"/>
      <c r="C39" s="17"/>
      <c r="D39" s="17"/>
      <c r="E39" s="21"/>
      <c r="F39" s="17"/>
      <c r="G39" s="24"/>
      <c r="H39" s="21"/>
      <c r="I39" s="17"/>
      <c r="J39" s="17"/>
      <c r="K39" s="18"/>
      <c r="L39" s="23"/>
      <c r="M39" s="18"/>
      <c r="N39" s="26"/>
      <c r="O39" s="16"/>
      <c r="P39" s="27"/>
    </row>
    <row r="40" ht="24" customHeight="1" spans="1:16">
      <c r="A40" s="22"/>
      <c r="B40" s="23"/>
      <c r="C40" s="17"/>
      <c r="D40" s="17"/>
      <c r="E40" s="21"/>
      <c r="F40" s="17"/>
      <c r="G40" s="24"/>
      <c r="H40" s="21"/>
      <c r="I40" s="17"/>
      <c r="J40" s="17"/>
      <c r="K40" s="18"/>
      <c r="L40" s="23"/>
      <c r="M40" s="18"/>
      <c r="N40" s="26"/>
      <c r="O40" s="16"/>
      <c r="P40" s="27"/>
    </row>
    <row r="41" ht="24" customHeight="1" spans="1:16">
      <c r="A41" s="22"/>
      <c r="B41" s="23"/>
      <c r="C41" s="17"/>
      <c r="D41" s="17"/>
      <c r="E41" s="21"/>
      <c r="F41" s="17"/>
      <c r="G41" s="24"/>
      <c r="H41" s="21"/>
      <c r="I41" s="17"/>
      <c r="J41" s="17"/>
      <c r="K41" s="18"/>
      <c r="L41" s="23"/>
      <c r="M41" s="18"/>
      <c r="N41" s="26"/>
      <c r="O41" s="16"/>
      <c r="P41" s="27"/>
    </row>
    <row r="42" ht="24" customHeight="1" spans="1:16">
      <c r="A42" s="22"/>
      <c r="B42" s="23"/>
      <c r="C42" s="17"/>
      <c r="D42" s="17"/>
      <c r="E42" s="21"/>
      <c r="F42" s="17"/>
      <c r="G42" s="24"/>
      <c r="H42" s="21"/>
      <c r="I42" s="17"/>
      <c r="J42" s="17"/>
      <c r="K42" s="18"/>
      <c r="L42" s="23"/>
      <c r="M42" s="18"/>
      <c r="N42" s="26"/>
      <c r="O42" s="16"/>
      <c r="P42" s="27"/>
    </row>
    <row r="43" ht="24" customHeight="1" spans="1:16">
      <c r="A43" s="22"/>
      <c r="B43" s="23"/>
      <c r="C43" s="17"/>
      <c r="D43" s="17"/>
      <c r="E43" s="21"/>
      <c r="F43" s="17"/>
      <c r="G43" s="24"/>
      <c r="H43" s="21"/>
      <c r="I43" s="17"/>
      <c r="J43" s="17"/>
      <c r="K43" s="18"/>
      <c r="L43" s="23"/>
      <c r="M43" s="18"/>
      <c r="N43" s="26"/>
      <c r="O43" s="16"/>
      <c r="P43" s="27"/>
    </row>
    <row r="44" ht="24" customHeight="1" spans="1:16">
      <c r="A44" s="22"/>
      <c r="B44" s="23"/>
      <c r="C44" s="17"/>
      <c r="D44" s="17"/>
      <c r="E44" s="21"/>
      <c r="F44" s="17"/>
      <c r="G44" s="24"/>
      <c r="H44" s="21"/>
      <c r="I44" s="17"/>
      <c r="J44" s="17"/>
      <c r="K44" s="18"/>
      <c r="L44" s="23"/>
      <c r="M44" s="18"/>
      <c r="N44" s="26"/>
      <c r="O44" s="16"/>
      <c r="P44" s="27"/>
    </row>
    <row r="45" ht="24" customHeight="1" spans="1:16">
      <c r="A45" s="22"/>
      <c r="B45" s="23"/>
      <c r="C45" s="17"/>
      <c r="D45" s="17"/>
      <c r="E45" s="21"/>
      <c r="F45" s="17"/>
      <c r="G45" s="24"/>
      <c r="H45" s="21"/>
      <c r="I45" s="17"/>
      <c r="J45" s="17"/>
      <c r="K45" s="18"/>
      <c r="L45" s="23"/>
      <c r="M45" s="18"/>
      <c r="N45" s="26"/>
      <c r="O45" s="16"/>
      <c r="P45" s="27"/>
    </row>
    <row r="46" ht="24" customHeight="1" spans="1:16">
      <c r="A46" s="22"/>
      <c r="B46" s="23"/>
      <c r="C46" s="17"/>
      <c r="D46" s="17"/>
      <c r="E46" s="21"/>
      <c r="F46" s="17"/>
      <c r="G46" s="24"/>
      <c r="H46" s="21"/>
      <c r="I46" s="17"/>
      <c r="J46" s="17"/>
      <c r="K46" s="18"/>
      <c r="L46" s="23"/>
      <c r="M46" s="18"/>
      <c r="N46" s="26"/>
      <c r="O46" s="16"/>
      <c r="P46" s="27"/>
    </row>
    <row r="47" ht="24" customHeight="1" spans="1:16">
      <c r="A47" s="22"/>
      <c r="B47" s="23"/>
      <c r="C47" s="17"/>
      <c r="D47" s="17"/>
      <c r="E47" s="21"/>
      <c r="F47" s="17"/>
      <c r="G47" s="24"/>
      <c r="H47" s="21"/>
      <c r="I47" s="17"/>
      <c r="J47" s="17"/>
      <c r="K47" s="18"/>
      <c r="L47" s="23"/>
      <c r="M47" s="18"/>
      <c r="N47" s="26"/>
      <c r="O47" s="16"/>
      <c r="P47" s="27"/>
    </row>
    <row r="48" ht="24" customHeight="1" spans="1:16">
      <c r="A48" s="22"/>
      <c r="B48" s="23"/>
      <c r="C48" s="17"/>
      <c r="D48" s="17"/>
      <c r="E48" s="21"/>
      <c r="F48" s="17"/>
      <c r="G48" s="24"/>
      <c r="H48" s="21"/>
      <c r="I48" s="17"/>
      <c r="J48" s="17"/>
      <c r="K48" s="18"/>
      <c r="L48" s="23"/>
      <c r="M48" s="18"/>
      <c r="N48" s="26"/>
      <c r="O48" s="16"/>
      <c r="P48" s="27"/>
    </row>
    <row r="49" ht="24" customHeight="1" spans="1:16">
      <c r="A49" s="22"/>
      <c r="B49" s="23"/>
      <c r="C49" s="17"/>
      <c r="D49" s="17"/>
      <c r="E49" s="21"/>
      <c r="F49" s="17"/>
      <c r="G49" s="24"/>
      <c r="H49" s="21"/>
      <c r="I49" s="17"/>
      <c r="J49" s="17"/>
      <c r="K49" s="18"/>
      <c r="L49" s="23"/>
      <c r="M49" s="18"/>
      <c r="N49" s="26"/>
      <c r="O49" s="16"/>
      <c r="P49" s="27"/>
    </row>
    <row r="50" ht="24" customHeight="1" spans="1:16">
      <c r="A50" s="22"/>
      <c r="B50" s="23"/>
      <c r="C50" s="17"/>
      <c r="D50" s="17"/>
      <c r="E50" s="21"/>
      <c r="F50" s="17"/>
      <c r="G50" s="24"/>
      <c r="H50" s="21"/>
      <c r="I50" s="17"/>
      <c r="J50" s="17"/>
      <c r="K50" s="18"/>
      <c r="L50" s="23"/>
      <c r="M50" s="18"/>
      <c r="N50" s="26"/>
      <c r="O50" s="16"/>
      <c r="P50" s="27"/>
    </row>
    <row r="51" ht="24" customHeight="1" spans="1:16">
      <c r="A51" s="22"/>
      <c r="B51" s="23"/>
      <c r="C51" s="17"/>
      <c r="D51" s="17"/>
      <c r="E51" s="21"/>
      <c r="F51" s="17"/>
      <c r="G51" s="24"/>
      <c r="H51" s="21"/>
      <c r="I51" s="17"/>
      <c r="J51" s="17"/>
      <c r="K51" s="18"/>
      <c r="L51" s="23"/>
      <c r="M51" s="18"/>
      <c r="N51" s="26"/>
      <c r="O51" s="16"/>
      <c r="P51" s="27"/>
    </row>
    <row r="52" ht="24" customHeight="1" spans="1:16">
      <c r="A52" s="22"/>
      <c r="B52" s="23"/>
      <c r="C52" s="17"/>
      <c r="D52" s="17"/>
      <c r="E52" s="21"/>
      <c r="F52" s="17"/>
      <c r="G52" s="24"/>
      <c r="H52" s="21"/>
      <c r="I52" s="17"/>
      <c r="J52" s="17"/>
      <c r="K52" s="18"/>
      <c r="L52" s="23"/>
      <c r="M52" s="18"/>
      <c r="N52" s="26"/>
      <c r="O52" s="16"/>
      <c r="P52" s="27"/>
    </row>
    <row r="53" ht="24" customHeight="1" spans="1:16">
      <c r="A53" s="22"/>
      <c r="B53" s="23"/>
      <c r="C53" s="17"/>
      <c r="D53" s="17"/>
      <c r="E53" s="21"/>
      <c r="F53" s="17"/>
      <c r="G53" s="24"/>
      <c r="H53" s="21"/>
      <c r="I53" s="17"/>
      <c r="J53" s="17"/>
      <c r="K53" s="18"/>
      <c r="L53" s="23"/>
      <c r="M53" s="18"/>
      <c r="N53" s="26"/>
      <c r="O53" s="16"/>
      <c r="P53" s="27"/>
    </row>
    <row r="54" ht="24" customHeight="1" spans="1:16">
      <c r="A54" s="22"/>
      <c r="B54" s="23"/>
      <c r="C54" s="17"/>
      <c r="D54" s="17"/>
      <c r="E54" s="21"/>
      <c r="F54" s="17"/>
      <c r="G54" s="24"/>
      <c r="H54" s="21"/>
      <c r="I54" s="17"/>
      <c r="J54" s="17"/>
      <c r="K54" s="18"/>
      <c r="L54" s="23"/>
      <c r="M54" s="18"/>
      <c r="N54" s="26"/>
      <c r="O54" s="16"/>
      <c r="P54" s="27"/>
    </row>
    <row r="55" ht="24" customHeight="1" spans="1:16">
      <c r="A55" s="22"/>
      <c r="B55" s="23"/>
      <c r="C55" s="17"/>
      <c r="D55" s="17"/>
      <c r="E55" s="21"/>
      <c r="F55" s="17"/>
      <c r="G55" s="24"/>
      <c r="H55" s="21"/>
      <c r="I55" s="17"/>
      <c r="J55" s="17"/>
      <c r="K55" s="18"/>
      <c r="L55" s="23"/>
      <c r="M55" s="18"/>
      <c r="N55" s="26"/>
      <c r="O55" s="16"/>
      <c r="P55" s="27"/>
    </row>
    <row r="56" ht="24" customHeight="1" spans="1:16">
      <c r="A56" s="22"/>
      <c r="B56" s="23"/>
      <c r="C56" s="17"/>
      <c r="D56" s="17"/>
      <c r="E56" s="21"/>
      <c r="F56" s="17"/>
      <c r="G56" s="24"/>
      <c r="H56" s="21"/>
      <c r="I56" s="17"/>
      <c r="J56" s="17"/>
      <c r="K56" s="18"/>
      <c r="L56" s="23"/>
      <c r="M56" s="18"/>
      <c r="N56" s="26"/>
      <c r="O56" s="16"/>
      <c r="P56" s="27"/>
    </row>
    <row r="57" ht="24" customHeight="1" spans="1:16">
      <c r="A57" s="22"/>
      <c r="B57" s="23"/>
      <c r="C57" s="17"/>
      <c r="D57" s="17"/>
      <c r="E57" s="21"/>
      <c r="F57" s="17"/>
      <c r="G57" s="24"/>
      <c r="H57" s="21"/>
      <c r="I57" s="17"/>
      <c r="J57" s="17"/>
      <c r="K57" s="18"/>
      <c r="L57" s="23"/>
      <c r="M57" s="18"/>
      <c r="N57" s="26"/>
      <c r="O57" s="16"/>
      <c r="P57" s="27"/>
    </row>
    <row r="58" ht="24" customHeight="1" spans="1:16">
      <c r="A58" s="22"/>
      <c r="B58" s="23"/>
      <c r="C58" s="17"/>
      <c r="D58" s="17"/>
      <c r="E58" s="21"/>
      <c r="F58" s="17"/>
      <c r="G58" s="24"/>
      <c r="H58" s="21"/>
      <c r="I58" s="17"/>
      <c r="J58" s="17"/>
      <c r="K58" s="18"/>
      <c r="L58" s="23"/>
      <c r="M58" s="18"/>
      <c r="N58" s="26"/>
      <c r="O58" s="16"/>
      <c r="P58" s="27"/>
    </row>
    <row r="59" ht="24" customHeight="1" spans="1:16">
      <c r="A59" s="22"/>
      <c r="B59" s="23"/>
      <c r="C59" s="17"/>
      <c r="D59" s="17"/>
      <c r="E59" s="21"/>
      <c r="F59" s="17"/>
      <c r="G59" s="24"/>
      <c r="H59" s="21"/>
      <c r="I59" s="17"/>
      <c r="J59" s="17"/>
      <c r="K59" s="18"/>
      <c r="L59" s="23"/>
      <c r="M59" s="18"/>
      <c r="N59" s="26"/>
      <c r="O59" s="16"/>
      <c r="P59" s="27"/>
    </row>
    <row r="60" ht="24" customHeight="1" spans="1:16">
      <c r="A60" s="22"/>
      <c r="B60" s="23"/>
      <c r="C60" s="17"/>
      <c r="D60" s="17"/>
      <c r="E60" s="21"/>
      <c r="F60" s="17"/>
      <c r="G60" s="24"/>
      <c r="H60" s="21"/>
      <c r="I60" s="17"/>
      <c r="J60" s="17"/>
      <c r="K60" s="18"/>
      <c r="L60" s="23"/>
      <c r="M60" s="18"/>
      <c r="N60" s="26"/>
      <c r="O60" s="16"/>
      <c r="P60" s="27"/>
    </row>
    <row r="61" ht="24" customHeight="1" spans="1:16">
      <c r="A61" s="22"/>
      <c r="B61" s="23"/>
      <c r="C61" s="17"/>
      <c r="D61" s="17"/>
      <c r="E61" s="21"/>
      <c r="F61" s="17"/>
      <c r="G61" s="24"/>
      <c r="H61" s="21"/>
      <c r="I61" s="17"/>
      <c r="J61" s="17"/>
      <c r="K61" s="18"/>
      <c r="L61" s="23"/>
      <c r="M61" s="18"/>
      <c r="N61" s="26"/>
      <c r="O61" s="16"/>
      <c r="P61" s="27"/>
    </row>
    <row r="62" ht="24" customHeight="1" spans="1:16">
      <c r="A62" s="22"/>
      <c r="B62" s="23"/>
      <c r="C62" s="17"/>
      <c r="D62" s="17"/>
      <c r="E62" s="21"/>
      <c r="F62" s="17"/>
      <c r="G62" s="24"/>
      <c r="H62" s="21"/>
      <c r="I62" s="17"/>
      <c r="J62" s="17"/>
      <c r="K62" s="18"/>
      <c r="L62" s="23"/>
      <c r="M62" s="18"/>
      <c r="N62" s="26"/>
      <c r="O62" s="16"/>
      <c r="P62" s="27"/>
    </row>
    <row r="63" ht="24" customHeight="1" spans="1:16">
      <c r="A63" s="22"/>
      <c r="B63" s="23"/>
      <c r="C63" s="17"/>
      <c r="D63" s="17"/>
      <c r="E63" s="21"/>
      <c r="F63" s="17"/>
      <c r="G63" s="24"/>
      <c r="H63" s="21"/>
      <c r="I63" s="17"/>
      <c r="J63" s="17"/>
      <c r="K63" s="18"/>
      <c r="L63" s="23"/>
      <c r="M63" s="18"/>
      <c r="N63" s="26"/>
      <c r="O63" s="16"/>
      <c r="P63" s="27"/>
    </row>
    <row r="64" ht="24" customHeight="1" spans="1:16">
      <c r="A64" s="22"/>
      <c r="B64" s="23"/>
      <c r="C64" s="17"/>
      <c r="D64" s="17"/>
      <c r="E64" s="21"/>
      <c r="F64" s="17"/>
      <c r="G64" s="24"/>
      <c r="H64" s="21"/>
      <c r="I64" s="17"/>
      <c r="J64" s="17"/>
      <c r="K64" s="18"/>
      <c r="L64" s="23"/>
      <c r="M64" s="18"/>
      <c r="N64" s="26"/>
      <c r="O64" s="16"/>
      <c r="P64" s="27"/>
    </row>
    <row r="65" ht="24" customHeight="1" spans="1:16">
      <c r="A65" s="22"/>
      <c r="B65" s="23"/>
      <c r="C65" s="17"/>
      <c r="D65" s="17"/>
      <c r="E65" s="21"/>
      <c r="F65" s="17"/>
      <c r="G65" s="24"/>
      <c r="H65" s="21"/>
      <c r="I65" s="17"/>
      <c r="J65" s="17"/>
      <c r="K65" s="18"/>
      <c r="L65" s="23"/>
      <c r="M65" s="18"/>
      <c r="N65" s="26"/>
      <c r="O65" s="16"/>
      <c r="P65" s="27"/>
    </row>
    <row r="66" ht="24" customHeight="1" spans="1:16">
      <c r="A66" s="22"/>
      <c r="B66" s="23"/>
      <c r="C66" s="17"/>
      <c r="D66" s="17"/>
      <c r="E66" s="21"/>
      <c r="F66" s="17"/>
      <c r="G66" s="24"/>
      <c r="H66" s="21"/>
      <c r="I66" s="17"/>
      <c r="J66" s="17"/>
      <c r="K66" s="18"/>
      <c r="L66" s="23"/>
      <c r="M66" s="18"/>
      <c r="N66" s="26"/>
      <c r="O66" s="16"/>
      <c r="P66" s="27"/>
    </row>
    <row r="67" ht="24" customHeight="1" spans="1:16">
      <c r="A67" s="22"/>
      <c r="B67" s="23"/>
      <c r="C67" s="17"/>
      <c r="D67" s="17"/>
      <c r="E67" s="21"/>
      <c r="F67" s="17"/>
      <c r="G67" s="24"/>
      <c r="H67" s="21"/>
      <c r="I67" s="17"/>
      <c r="J67" s="17"/>
      <c r="K67" s="18"/>
      <c r="L67" s="23"/>
      <c r="M67" s="18"/>
      <c r="N67" s="26"/>
      <c r="O67" s="16"/>
      <c r="P67" s="28"/>
    </row>
    <row r="68" ht="24" customHeight="1" spans="1:16">
      <c r="A68" s="22"/>
      <c r="B68" s="23"/>
      <c r="C68" s="17"/>
      <c r="D68" s="17"/>
      <c r="E68" s="21"/>
      <c r="F68" s="17"/>
      <c r="G68" s="24"/>
      <c r="H68" s="21"/>
      <c r="I68" s="17"/>
      <c r="J68" s="17"/>
      <c r="K68" s="18"/>
      <c r="L68" s="23"/>
      <c r="M68" s="18"/>
      <c r="N68" s="26"/>
      <c r="O68" s="16"/>
      <c r="P68" s="28"/>
    </row>
    <row r="69" ht="24" customHeight="1" spans="1:16">
      <c r="A69" s="22"/>
      <c r="B69" s="23"/>
      <c r="C69" s="17"/>
      <c r="D69" s="17"/>
      <c r="E69" s="21"/>
      <c r="F69" s="17"/>
      <c r="G69" s="24"/>
      <c r="H69" s="21"/>
      <c r="I69" s="17"/>
      <c r="J69" s="17"/>
      <c r="K69" s="18"/>
      <c r="L69" s="23"/>
      <c r="M69" s="18"/>
      <c r="N69" s="26"/>
      <c r="O69" s="16"/>
      <c r="P69" s="27"/>
    </row>
    <row r="70" ht="24" customHeight="1" spans="1:16">
      <c r="A70" s="22"/>
      <c r="B70" s="23"/>
      <c r="C70" s="17"/>
      <c r="D70" s="17"/>
      <c r="E70" s="21"/>
      <c r="F70" s="17"/>
      <c r="G70" s="24"/>
      <c r="H70" s="21"/>
      <c r="I70" s="17"/>
      <c r="J70" s="17"/>
      <c r="K70" s="18"/>
      <c r="L70" s="23"/>
      <c r="M70" s="18"/>
      <c r="N70" s="26"/>
      <c r="O70" s="16"/>
      <c r="P70" s="27"/>
    </row>
    <row r="71" ht="24" customHeight="1" spans="1:16">
      <c r="A71" s="22"/>
      <c r="B71" s="23"/>
      <c r="C71" s="17"/>
      <c r="D71" s="17"/>
      <c r="E71" s="21"/>
      <c r="F71" s="17"/>
      <c r="G71" s="24"/>
      <c r="H71" s="21"/>
      <c r="I71" s="17"/>
      <c r="J71" s="17"/>
      <c r="K71" s="18"/>
      <c r="L71" s="23"/>
      <c r="M71" s="18"/>
      <c r="N71" s="26"/>
      <c r="O71" s="16"/>
      <c r="P71" s="27"/>
    </row>
    <row r="72" ht="24" customHeight="1" spans="1:16">
      <c r="A72" s="22"/>
      <c r="B72" s="23"/>
      <c r="C72" s="17"/>
      <c r="D72" s="17"/>
      <c r="E72" s="21"/>
      <c r="F72" s="17"/>
      <c r="G72" s="24"/>
      <c r="H72" s="21"/>
      <c r="I72" s="17"/>
      <c r="J72" s="17"/>
      <c r="K72" s="18"/>
      <c r="L72" s="23"/>
      <c r="M72" s="18"/>
      <c r="N72" s="26"/>
      <c r="O72" s="16"/>
      <c r="P72" s="27"/>
    </row>
    <row r="73" ht="24" customHeight="1" spans="1:16">
      <c r="A73" s="22"/>
      <c r="B73" s="23"/>
      <c r="C73" s="17"/>
      <c r="D73" s="17"/>
      <c r="E73" s="21"/>
      <c r="F73" s="17"/>
      <c r="G73" s="24"/>
      <c r="H73" s="21"/>
      <c r="I73" s="17"/>
      <c r="J73" s="17"/>
      <c r="K73" s="18"/>
      <c r="L73" s="23"/>
      <c r="M73" s="18"/>
      <c r="N73" s="26"/>
      <c r="O73" s="16"/>
      <c r="P73" s="27"/>
    </row>
    <row r="74" ht="24" customHeight="1" spans="1:16">
      <c r="A74" s="22"/>
      <c r="B74" s="23"/>
      <c r="C74" s="17"/>
      <c r="D74" s="17"/>
      <c r="E74" s="21"/>
      <c r="F74" s="17"/>
      <c r="G74" s="24"/>
      <c r="H74" s="21"/>
      <c r="I74" s="17"/>
      <c r="J74" s="17"/>
      <c r="K74" s="18"/>
      <c r="L74" s="23"/>
      <c r="M74" s="18"/>
      <c r="N74" s="26"/>
      <c r="O74" s="16"/>
      <c r="P74" s="27"/>
    </row>
    <row r="75" ht="24" customHeight="1" spans="1:16">
      <c r="A75" s="22"/>
      <c r="B75" s="23"/>
      <c r="C75" s="17"/>
      <c r="D75" s="17"/>
      <c r="E75" s="21"/>
      <c r="F75" s="17"/>
      <c r="G75" s="24"/>
      <c r="H75" s="21"/>
      <c r="I75" s="17"/>
      <c r="J75" s="17"/>
      <c r="K75" s="18"/>
      <c r="L75" s="23"/>
      <c r="M75" s="18"/>
      <c r="N75" s="26"/>
      <c r="O75" s="16"/>
      <c r="P75" s="27"/>
    </row>
    <row r="76" ht="24" customHeight="1" spans="1:16">
      <c r="A76" s="22"/>
      <c r="B76" s="23"/>
      <c r="C76" s="17"/>
      <c r="D76" s="17"/>
      <c r="E76" s="21"/>
      <c r="F76" s="17"/>
      <c r="G76" s="24"/>
      <c r="H76" s="21"/>
      <c r="I76" s="17"/>
      <c r="J76" s="17"/>
      <c r="K76" s="18"/>
      <c r="L76" s="23"/>
      <c r="M76" s="18"/>
      <c r="N76" s="26"/>
      <c r="O76" s="16"/>
      <c r="P76" s="28"/>
    </row>
    <row r="77" ht="24" customHeight="1" spans="1:16">
      <c r="A77" s="22"/>
      <c r="B77" s="23"/>
      <c r="C77" s="17"/>
      <c r="D77" s="17"/>
      <c r="E77" s="21"/>
      <c r="F77" s="17"/>
      <c r="G77" s="24"/>
      <c r="H77" s="21"/>
      <c r="I77" s="17"/>
      <c r="J77" s="17"/>
      <c r="K77" s="18"/>
      <c r="L77" s="23"/>
      <c r="M77" s="18"/>
      <c r="N77" s="26"/>
      <c r="O77" s="16"/>
      <c r="P77" s="28"/>
    </row>
    <row r="78" ht="24" customHeight="1" spans="1:16">
      <c r="A78" s="22"/>
      <c r="B78" s="23"/>
      <c r="C78" s="17"/>
      <c r="D78" s="17"/>
      <c r="E78" s="21"/>
      <c r="F78" s="17"/>
      <c r="G78" s="24"/>
      <c r="H78" s="21"/>
      <c r="I78" s="17"/>
      <c r="J78" s="17"/>
      <c r="K78" s="18"/>
      <c r="L78" s="23"/>
      <c r="M78" s="18"/>
      <c r="N78" s="26"/>
      <c r="O78" s="16"/>
      <c r="P78" s="27"/>
    </row>
    <row r="79" ht="24" customHeight="1" spans="1:16">
      <c r="A79" s="22"/>
      <c r="B79" s="23"/>
      <c r="C79" s="17"/>
      <c r="D79" s="17"/>
      <c r="E79" s="21"/>
      <c r="F79" s="17"/>
      <c r="G79" s="24"/>
      <c r="H79" s="21"/>
      <c r="I79" s="17"/>
      <c r="J79" s="17"/>
      <c r="K79" s="18"/>
      <c r="L79" s="23"/>
      <c r="M79" s="18"/>
      <c r="N79" s="26"/>
      <c r="P79" s="27"/>
    </row>
    <row r="80" spans="16:16">
      <c r="P80" s="27"/>
    </row>
    <row r="81" spans="16:16">
      <c r="P81" s="27"/>
    </row>
    <row r="82" spans="16:16">
      <c r="P82" s="27"/>
    </row>
    <row r="83" spans="16:16">
      <c r="P83" s="27"/>
    </row>
    <row r="84" spans="16:16">
      <c r="P84" s="27"/>
    </row>
    <row r="85" spans="16:16">
      <c r="P85" s="27"/>
    </row>
    <row r="86" spans="16:16">
      <c r="P86" s="27"/>
    </row>
    <row r="87" spans="16:16">
      <c r="P87" s="27"/>
    </row>
    <row r="88" spans="16:16">
      <c r="P88" s="27"/>
    </row>
    <row r="89" spans="16:16">
      <c r="P89" s="27"/>
    </row>
    <row r="90" spans="16:16">
      <c r="P90" s="27"/>
    </row>
    <row r="91" spans="16:16">
      <c r="P91" s="27"/>
    </row>
    <row r="92" spans="16:16">
      <c r="P92" s="27"/>
    </row>
    <row r="93" spans="16:16">
      <c r="P93" s="27"/>
    </row>
    <row r="94" spans="16:16">
      <c r="P94" s="27"/>
    </row>
    <row r="95" spans="16:16">
      <c r="P95" s="27"/>
    </row>
    <row r="96" spans="16:16">
      <c r="P96" s="27"/>
    </row>
    <row r="97" spans="16:16">
      <c r="P97" s="27"/>
    </row>
    <row r="98" spans="16:16">
      <c r="P98" s="27"/>
    </row>
    <row r="99" spans="16:16">
      <c r="P99" s="27"/>
    </row>
    <row r="100" spans="16:16">
      <c r="P100" s="27"/>
    </row>
    <row r="101" spans="16:16">
      <c r="P101" s="28"/>
    </row>
    <row r="102" spans="16:16">
      <c r="P102" s="27"/>
    </row>
    <row r="103" spans="16:16">
      <c r="P103" s="27"/>
    </row>
    <row r="104" spans="16:16">
      <c r="P104" s="27"/>
    </row>
    <row r="105" spans="16:16">
      <c r="P105" s="27"/>
    </row>
    <row r="106" spans="16:16">
      <c r="P106" s="27"/>
    </row>
    <row r="107" spans="16:16">
      <c r="P107" s="27"/>
    </row>
    <row r="108" spans="16:16">
      <c r="P108" s="27"/>
    </row>
    <row r="109" spans="16:16">
      <c r="P109" s="27"/>
    </row>
    <row r="110" spans="16:16">
      <c r="P110" s="27"/>
    </row>
    <row r="111" spans="16:16">
      <c r="P111" s="27"/>
    </row>
    <row r="112" spans="16:16">
      <c r="P112" s="27"/>
    </row>
    <row r="113" spans="16:16">
      <c r="P113" s="27"/>
    </row>
    <row r="114" spans="16:16">
      <c r="P114" s="27"/>
    </row>
    <row r="115" spans="16:16">
      <c r="P115" s="27"/>
    </row>
    <row r="116" spans="16:16">
      <c r="P116" s="27"/>
    </row>
    <row r="117" spans="16:16">
      <c r="P117" s="28"/>
    </row>
    <row r="118" spans="16:16">
      <c r="P118" s="27"/>
    </row>
    <row r="119" spans="16:16">
      <c r="P119" s="27"/>
    </row>
    <row r="120" spans="16:16">
      <c r="P120" s="27"/>
    </row>
    <row r="121" spans="16:16">
      <c r="P121" s="27"/>
    </row>
    <row r="122" spans="16:16">
      <c r="P122" s="27"/>
    </row>
    <row r="123" spans="16:16">
      <c r="P123" s="27"/>
    </row>
    <row r="124" spans="16:16">
      <c r="P124" s="27"/>
    </row>
    <row r="125" spans="16:16">
      <c r="P125" s="27"/>
    </row>
    <row r="126" spans="16:16">
      <c r="P126" s="27"/>
    </row>
    <row r="127" spans="16:16">
      <c r="P127" s="27"/>
    </row>
    <row r="128" spans="16:16">
      <c r="P128" s="27"/>
    </row>
    <row r="129" spans="16:16">
      <c r="P129" s="27"/>
    </row>
    <row r="130" spans="16:16">
      <c r="P130" s="27"/>
    </row>
    <row r="131" spans="16:16">
      <c r="P131" s="27"/>
    </row>
    <row r="132" spans="16:16">
      <c r="P132" s="27"/>
    </row>
    <row r="133" spans="16:16">
      <c r="P133" s="27"/>
    </row>
    <row r="134" spans="16:16">
      <c r="P134" s="27"/>
    </row>
    <row r="135" spans="16:16">
      <c r="P135" s="27"/>
    </row>
    <row r="136" spans="16:16">
      <c r="P136" s="27"/>
    </row>
    <row r="137" spans="16:16">
      <c r="P137" s="27"/>
    </row>
    <row r="138" spans="16:16">
      <c r="P138" s="27"/>
    </row>
    <row r="139" spans="16:16">
      <c r="P139" s="27"/>
    </row>
    <row r="140" spans="16:16">
      <c r="P140" s="27"/>
    </row>
    <row r="141" spans="16:16">
      <c r="P141" s="27"/>
    </row>
    <row r="142" spans="16:16">
      <c r="P142" s="27"/>
    </row>
    <row r="143" spans="16:16">
      <c r="P143" s="27"/>
    </row>
    <row r="144" spans="16:16">
      <c r="P144" s="27"/>
    </row>
    <row r="145" spans="16:16">
      <c r="P145" s="27"/>
    </row>
    <row r="146" spans="16:16">
      <c r="P146" s="27"/>
    </row>
    <row r="147" spans="16:16">
      <c r="P147" s="27"/>
    </row>
    <row r="148" spans="16:16">
      <c r="P148" s="27"/>
    </row>
    <row r="149" spans="16:16">
      <c r="P149" s="27"/>
    </row>
    <row r="150" spans="16:16">
      <c r="P150" s="27"/>
    </row>
    <row r="151" spans="16:16">
      <c r="P151" s="27"/>
    </row>
    <row r="152" spans="16:16">
      <c r="P152" s="27"/>
    </row>
    <row r="153" spans="16:16">
      <c r="P153" s="27"/>
    </row>
    <row r="154" spans="16:16">
      <c r="P154" s="27"/>
    </row>
    <row r="155" spans="16:16">
      <c r="P155" s="27"/>
    </row>
    <row r="156" spans="16:16">
      <c r="P156" s="27"/>
    </row>
    <row r="157" spans="16:16">
      <c r="P157" s="27"/>
    </row>
    <row r="158" spans="16:16">
      <c r="P158" s="27"/>
    </row>
    <row r="159" spans="16:16">
      <c r="P159" s="27"/>
    </row>
    <row r="160" spans="16:16">
      <c r="P160" s="28"/>
    </row>
    <row r="161" spans="16:16">
      <c r="P161" s="27"/>
    </row>
    <row r="162" spans="16:16">
      <c r="P162" s="27"/>
    </row>
    <row r="163" spans="16:16">
      <c r="P163" s="28"/>
    </row>
    <row r="164" spans="16:16">
      <c r="P164" s="27"/>
    </row>
    <row r="165" spans="16:16">
      <c r="P165" s="27"/>
    </row>
    <row r="166" spans="16:16">
      <c r="P166" s="27"/>
    </row>
    <row r="167" spans="16:16">
      <c r="P167" s="27"/>
    </row>
    <row r="168" spans="16:16">
      <c r="P168" s="27"/>
    </row>
    <row r="169" spans="16:16">
      <c r="P169" s="27"/>
    </row>
    <row r="170" spans="16:16">
      <c r="P170" s="27"/>
    </row>
    <row r="171" spans="16:16">
      <c r="P171" s="27"/>
    </row>
    <row r="172" spans="16:16">
      <c r="P172" s="27"/>
    </row>
    <row r="173" spans="16:16">
      <c r="P173" s="27"/>
    </row>
    <row r="174" spans="16:16">
      <c r="P174" s="27"/>
    </row>
    <row r="175" spans="16:16">
      <c r="P175" s="27"/>
    </row>
    <row r="176" spans="16:16">
      <c r="P176" s="27"/>
    </row>
    <row r="177" spans="16:16">
      <c r="P177" s="27"/>
    </row>
    <row r="178" spans="16:16">
      <c r="P178" s="27"/>
    </row>
    <row r="179" spans="16:16">
      <c r="P179" s="27"/>
    </row>
    <row r="180" spans="16:16">
      <c r="P180" s="27"/>
    </row>
    <row r="181" spans="16:16">
      <c r="P181" s="27"/>
    </row>
    <row r="182" spans="16:16">
      <c r="P182" s="27"/>
    </row>
    <row r="183" spans="16:16">
      <c r="P183" s="27"/>
    </row>
    <row r="184" spans="16:16">
      <c r="P184" s="27"/>
    </row>
    <row r="185" spans="16:16">
      <c r="P185" s="27"/>
    </row>
    <row r="186" spans="16:16">
      <c r="P186" s="27"/>
    </row>
    <row r="187" spans="16:16">
      <c r="P187" s="27"/>
    </row>
    <row r="188" spans="16:16">
      <c r="P188" s="27"/>
    </row>
    <row r="189" spans="16:16">
      <c r="P189" s="27"/>
    </row>
    <row r="190" spans="16:16">
      <c r="P190" s="27"/>
    </row>
    <row r="191" spans="16:16">
      <c r="P191" s="27"/>
    </row>
    <row r="192" spans="16:16">
      <c r="P192" s="27"/>
    </row>
    <row r="193" spans="16:16">
      <c r="P193" s="27"/>
    </row>
    <row r="194" spans="16:16">
      <c r="P194" s="27"/>
    </row>
    <row r="195" spans="16:16">
      <c r="P195" s="28"/>
    </row>
    <row r="196" spans="16:16">
      <c r="P196" s="27"/>
    </row>
    <row r="197" spans="16:16">
      <c r="P197" s="27"/>
    </row>
    <row r="198" spans="16:16">
      <c r="P198" s="27"/>
    </row>
    <row r="199" spans="16:16">
      <c r="P199" s="27"/>
    </row>
    <row r="200" spans="16:16">
      <c r="P200" s="27"/>
    </row>
    <row r="201" spans="16:16">
      <c r="P201" s="28"/>
    </row>
    <row r="202" spans="16:16">
      <c r="P202" s="27"/>
    </row>
    <row r="203" spans="16:16">
      <c r="P203" s="27"/>
    </row>
    <row r="204" spans="16:16">
      <c r="P204" s="27"/>
    </row>
    <row r="205" spans="16:16">
      <c r="P205" s="27"/>
    </row>
    <row r="206" spans="16:16">
      <c r="P206" s="27"/>
    </row>
    <row r="207" spans="16:16">
      <c r="P207" s="27"/>
    </row>
    <row r="208" spans="16:16">
      <c r="P208" s="27"/>
    </row>
    <row r="209" spans="16:16">
      <c r="P209" s="27"/>
    </row>
    <row r="210" spans="16:16">
      <c r="P210" s="27"/>
    </row>
    <row r="211" spans="16:16">
      <c r="P211" s="27"/>
    </row>
    <row r="212" spans="16:16">
      <c r="P212" s="27"/>
    </row>
    <row r="213" spans="16:16">
      <c r="P213" s="27"/>
    </row>
    <row r="214" spans="16:16">
      <c r="P214" s="27"/>
    </row>
    <row r="215" spans="16:16">
      <c r="P215" s="27"/>
    </row>
    <row r="216" spans="16:16">
      <c r="P216" s="27"/>
    </row>
    <row r="217" spans="16:16">
      <c r="P217" s="27"/>
    </row>
    <row r="218" spans="16:16">
      <c r="P218" s="27"/>
    </row>
    <row r="219" spans="16:16">
      <c r="P219" s="27"/>
    </row>
    <row r="220" spans="16:16">
      <c r="P220" s="27"/>
    </row>
    <row r="221" spans="16:16">
      <c r="P221" s="27"/>
    </row>
    <row r="222" spans="16:16">
      <c r="P222" s="27"/>
    </row>
    <row r="223" spans="16:16">
      <c r="P223" s="27"/>
    </row>
    <row r="224" spans="16:16">
      <c r="P224" s="27"/>
    </row>
    <row r="225" spans="16:16">
      <c r="P225" s="27"/>
    </row>
    <row r="226" spans="16:16">
      <c r="P226" s="27"/>
    </row>
    <row r="227" spans="16:16">
      <c r="P227" s="27"/>
    </row>
    <row r="228" spans="16:16">
      <c r="P228" s="27"/>
    </row>
    <row r="229" spans="16:16">
      <c r="P229" s="27"/>
    </row>
    <row r="230" spans="16:16">
      <c r="P230" s="27"/>
    </row>
    <row r="231" spans="16:16">
      <c r="P231" s="27"/>
    </row>
    <row r="232" spans="16:16">
      <c r="P232" s="27"/>
    </row>
    <row r="233" spans="16:16">
      <c r="P233" s="27"/>
    </row>
    <row r="234" spans="16:16">
      <c r="P234" s="27"/>
    </row>
    <row r="235" spans="16:16">
      <c r="P235" s="27"/>
    </row>
    <row r="236" spans="16:16">
      <c r="P236" s="27"/>
    </row>
    <row r="237" spans="16:16">
      <c r="P237" s="27"/>
    </row>
    <row r="238" spans="16:16">
      <c r="P238" s="27"/>
    </row>
    <row r="239" spans="16:16">
      <c r="P239" s="27"/>
    </row>
    <row r="240" spans="16:16">
      <c r="P240" s="27"/>
    </row>
    <row r="241" spans="16:16">
      <c r="P241" s="27"/>
    </row>
    <row r="242" spans="16:16">
      <c r="P242" s="27"/>
    </row>
    <row r="243" spans="16:16">
      <c r="P243" s="27"/>
    </row>
    <row r="244" spans="16:16">
      <c r="P244" s="27"/>
    </row>
    <row r="245" spans="16:16">
      <c r="P245" s="27"/>
    </row>
    <row r="246" spans="16:16">
      <c r="P246" s="27"/>
    </row>
    <row r="247" spans="16:16">
      <c r="P247" s="27"/>
    </row>
    <row r="248" spans="16:16">
      <c r="P248" s="27"/>
    </row>
    <row r="249" spans="16:16">
      <c r="P249" s="27"/>
    </row>
    <row r="250" spans="16:16">
      <c r="P250" s="27"/>
    </row>
    <row r="251" spans="16:16">
      <c r="P251" s="27"/>
    </row>
    <row r="252" spans="16:16">
      <c r="P252" s="27"/>
    </row>
    <row r="253" spans="16:16">
      <c r="P253" s="27"/>
    </row>
    <row r="254" spans="16:16">
      <c r="P254" s="27"/>
    </row>
    <row r="255" spans="16:16">
      <c r="P255" s="27"/>
    </row>
    <row r="256" spans="16:16">
      <c r="P256" s="27"/>
    </row>
    <row r="257" spans="16:16">
      <c r="P257" s="27"/>
    </row>
    <row r="258" spans="16:16">
      <c r="P258" s="27"/>
    </row>
    <row r="259" spans="16:16">
      <c r="P259" s="27"/>
    </row>
    <row r="260" spans="16:16">
      <c r="P260" s="27"/>
    </row>
    <row r="261" spans="16:16">
      <c r="P261" s="27"/>
    </row>
    <row r="262" spans="16:16">
      <c r="P262" s="27"/>
    </row>
    <row r="263" spans="16:16">
      <c r="P263" s="27"/>
    </row>
    <row r="264" spans="16:16">
      <c r="P264" s="27"/>
    </row>
    <row r="265" spans="16:16">
      <c r="P265" s="27"/>
    </row>
    <row r="266" spans="16:16">
      <c r="P266" s="27"/>
    </row>
    <row r="267" spans="16:16">
      <c r="P267" s="27"/>
    </row>
    <row r="268" spans="16:16">
      <c r="P268" s="27"/>
    </row>
    <row r="269" spans="16:16">
      <c r="P269" s="27"/>
    </row>
    <row r="270" spans="16:16">
      <c r="P270" s="27"/>
    </row>
    <row r="271" spans="16:16">
      <c r="P271" s="27"/>
    </row>
    <row r="272" spans="16:16">
      <c r="P272" s="27"/>
    </row>
    <row r="273" spans="16:16">
      <c r="P273" s="28"/>
    </row>
    <row r="274" spans="16:16">
      <c r="P274" s="28"/>
    </row>
    <row r="275" spans="16:16">
      <c r="P275" s="28"/>
    </row>
    <row r="276" spans="16:16">
      <c r="P276" s="28"/>
    </row>
    <row r="277" spans="16:16">
      <c r="P277" s="28"/>
    </row>
    <row r="278" spans="16:16">
      <c r="P278" s="28"/>
    </row>
    <row r="279" spans="16:16">
      <c r="P279" s="28"/>
    </row>
    <row r="280" spans="16:16">
      <c r="P280" s="28"/>
    </row>
    <row r="281" spans="16:16">
      <c r="P281" s="28"/>
    </row>
    <row r="282" spans="16:16">
      <c r="P282" s="28"/>
    </row>
    <row r="283" spans="16:16">
      <c r="P283" s="28"/>
    </row>
    <row r="284" spans="16:16">
      <c r="P284" s="28"/>
    </row>
    <row r="285" spans="16:16">
      <c r="P285" s="28"/>
    </row>
    <row r="286" spans="16:16">
      <c r="P286" s="28"/>
    </row>
    <row r="287" spans="16:16">
      <c r="P287" s="28"/>
    </row>
    <row r="288" spans="16:16">
      <c r="P288" s="27"/>
    </row>
    <row r="289" spans="16:16">
      <c r="P289" s="27"/>
    </row>
    <row r="290" spans="16:16">
      <c r="P290" s="27"/>
    </row>
    <row r="291" spans="16:16">
      <c r="P291" s="27"/>
    </row>
    <row r="292" spans="16:16">
      <c r="P292" s="27"/>
    </row>
    <row r="293" spans="16:16">
      <c r="P293" s="27"/>
    </row>
    <row r="294" spans="16:16">
      <c r="P294" s="27"/>
    </row>
    <row r="295" spans="16:16">
      <c r="P295" s="27"/>
    </row>
    <row r="296" spans="16:16">
      <c r="P296" s="27"/>
    </row>
    <row r="297" spans="16:16">
      <c r="P297" s="27"/>
    </row>
    <row r="298" spans="16:16">
      <c r="P298" s="27"/>
    </row>
    <row r="299" spans="16:16">
      <c r="P299" s="27"/>
    </row>
    <row r="300" spans="16:16">
      <c r="P300" s="27"/>
    </row>
    <row r="301" spans="16:16">
      <c r="P301" s="27"/>
    </row>
    <row r="302" spans="16:16">
      <c r="P302" s="27"/>
    </row>
    <row r="303" spans="16:16">
      <c r="P303" s="27"/>
    </row>
    <row r="304" spans="16:16">
      <c r="P304" s="27"/>
    </row>
    <row r="305" spans="16:16">
      <c r="P305" s="27"/>
    </row>
    <row r="306" spans="16:16">
      <c r="P306" s="27"/>
    </row>
    <row r="307" spans="16:16">
      <c r="P307" s="27"/>
    </row>
    <row r="308" spans="16:16">
      <c r="P308" s="27"/>
    </row>
    <row r="309" spans="16:16">
      <c r="P309" s="27"/>
    </row>
    <row r="310" spans="16:16">
      <c r="P310" s="27"/>
    </row>
    <row r="311" spans="16:16">
      <c r="P311" s="27"/>
    </row>
    <row r="312" spans="16:16">
      <c r="P312" s="27"/>
    </row>
    <row r="313" spans="16:16">
      <c r="P313" s="27"/>
    </row>
    <row r="314" spans="16:16">
      <c r="P314" s="27"/>
    </row>
    <row r="315" spans="16:16">
      <c r="P315" s="27"/>
    </row>
    <row r="316" spans="16:16">
      <c r="P316" s="27"/>
    </row>
    <row r="317" spans="16:16">
      <c r="P317" s="27"/>
    </row>
    <row r="318" spans="16:16">
      <c r="P318" s="27"/>
    </row>
    <row r="319" spans="16:16">
      <c r="P319" s="27"/>
    </row>
    <row r="320" spans="16:16">
      <c r="P320" s="27"/>
    </row>
    <row r="321" spans="16:16">
      <c r="P321" s="27"/>
    </row>
    <row r="322" spans="16:16">
      <c r="P322" s="27"/>
    </row>
    <row r="323" spans="16:16">
      <c r="P323" s="27"/>
    </row>
    <row r="324" spans="16:16">
      <c r="P324" s="27"/>
    </row>
    <row r="325" spans="16:16">
      <c r="P325" s="27"/>
    </row>
    <row r="326" spans="16:16">
      <c r="P326" s="27"/>
    </row>
    <row r="327" spans="16:16">
      <c r="P327" s="27"/>
    </row>
    <row r="328" spans="16:16">
      <c r="P328" s="28"/>
    </row>
    <row r="329" spans="16:16">
      <c r="P329" s="28"/>
    </row>
    <row r="330" spans="16:16">
      <c r="P330" s="28"/>
    </row>
    <row r="331" spans="16:16">
      <c r="P331" s="28"/>
    </row>
    <row r="332" spans="16:16">
      <c r="P332" s="27"/>
    </row>
    <row r="333" spans="16:16">
      <c r="P333" s="27"/>
    </row>
    <row r="334" spans="16:16">
      <c r="P334" s="27"/>
    </row>
    <row r="335" spans="16:16">
      <c r="P335" s="27"/>
    </row>
    <row r="336" spans="16:16">
      <c r="P336" s="27"/>
    </row>
    <row r="337" spans="16:16">
      <c r="P337" s="27"/>
    </row>
    <row r="338" spans="16:16">
      <c r="P338" s="27"/>
    </row>
    <row r="339" spans="16:16">
      <c r="P339" s="27"/>
    </row>
    <row r="340" spans="16:16">
      <c r="P340" s="27"/>
    </row>
    <row r="341" spans="16:16">
      <c r="P341" s="27"/>
    </row>
    <row r="342" spans="16:16">
      <c r="P342" s="27"/>
    </row>
    <row r="343" spans="16:16">
      <c r="P343" s="27"/>
    </row>
    <row r="344" spans="16:16">
      <c r="P344" s="27"/>
    </row>
    <row r="345" spans="16:16">
      <c r="P345" s="27"/>
    </row>
    <row r="346" spans="16:16">
      <c r="P346" s="27"/>
    </row>
    <row r="347" spans="16:16">
      <c r="P347" s="27"/>
    </row>
    <row r="348" spans="16:16">
      <c r="P348" s="27"/>
    </row>
    <row r="349" spans="16:16">
      <c r="P349" s="27"/>
    </row>
    <row r="350" spans="16:16">
      <c r="P350" s="28" t="s">
        <v>57</v>
      </c>
    </row>
    <row r="351" spans="16:16">
      <c r="P351" s="27"/>
    </row>
    <row r="352" spans="16:16">
      <c r="P352" s="27"/>
    </row>
    <row r="353" spans="16:16">
      <c r="P353" s="27"/>
    </row>
    <row r="354" spans="16:16">
      <c r="P354" s="27"/>
    </row>
    <row r="355" spans="16:16">
      <c r="P355" s="28" t="s">
        <v>57</v>
      </c>
    </row>
    <row r="356" spans="16:16">
      <c r="P356" s="27"/>
    </row>
    <row r="357" spans="16:16">
      <c r="P357" s="28"/>
    </row>
    <row r="358" spans="16:16">
      <c r="P358" s="28"/>
    </row>
    <row r="359" spans="16:16">
      <c r="P359" s="28"/>
    </row>
    <row r="360" spans="16:16">
      <c r="P360" s="27"/>
    </row>
    <row r="361" spans="16:16">
      <c r="P361" s="27"/>
    </row>
    <row r="362" spans="16:16">
      <c r="P362" s="27"/>
    </row>
    <row r="363" spans="16:16">
      <c r="P363" s="27"/>
    </row>
    <row r="364" spans="16:16">
      <c r="P364" s="27"/>
    </row>
    <row r="365" spans="16:16">
      <c r="P365" s="28" t="s">
        <v>57</v>
      </c>
    </row>
    <row r="366" spans="16:16">
      <c r="P366" s="27"/>
    </row>
    <row r="367" spans="16:16">
      <c r="P367" s="27"/>
    </row>
    <row r="368" spans="16:16">
      <c r="P368" s="27"/>
    </row>
    <row r="369" spans="16:16">
      <c r="P369" s="27"/>
    </row>
    <row r="370" spans="16:16">
      <c r="P370" s="27"/>
    </row>
    <row r="371" spans="16:16">
      <c r="P371" s="27"/>
    </row>
    <row r="372" spans="16:16">
      <c r="P372" s="27"/>
    </row>
    <row r="373" spans="16:16">
      <c r="P373" s="27"/>
    </row>
    <row r="374" spans="16:16">
      <c r="P374" s="27"/>
    </row>
    <row r="375" spans="16:16">
      <c r="P375" s="27"/>
    </row>
    <row r="376" spans="16:16">
      <c r="P376" s="27"/>
    </row>
    <row r="377" spans="16:16">
      <c r="P377" s="27"/>
    </row>
    <row r="378" spans="16:16">
      <c r="P378" s="27"/>
    </row>
    <row r="379" spans="16:16">
      <c r="P379" s="27"/>
    </row>
    <row r="380" spans="16:16">
      <c r="P380" s="27"/>
    </row>
    <row r="381" spans="16:16">
      <c r="P381" s="27"/>
    </row>
    <row r="382" spans="16:16">
      <c r="P382" s="28"/>
    </row>
    <row r="383" spans="16:16">
      <c r="P383" s="28"/>
    </row>
    <row r="384" spans="16:16">
      <c r="P384" s="27"/>
    </row>
    <row r="385" spans="16:16">
      <c r="P385" s="27"/>
    </row>
    <row r="386" spans="16:16">
      <c r="P386" s="27"/>
    </row>
    <row r="387" spans="16:16">
      <c r="P387" s="27"/>
    </row>
    <row r="388" spans="16:16">
      <c r="P388" s="27"/>
    </row>
    <row r="389" spans="16:16">
      <c r="P389" s="27"/>
    </row>
    <row r="390" spans="16:16">
      <c r="P390" s="27"/>
    </row>
    <row r="391" spans="16:16">
      <c r="P391" s="27"/>
    </row>
    <row r="392" spans="16:16">
      <c r="P392" s="27"/>
    </row>
    <row r="393" spans="16:16">
      <c r="P393" s="27"/>
    </row>
    <row r="394" spans="16:16">
      <c r="P394" s="27"/>
    </row>
    <row r="395" spans="16:16">
      <c r="P395" s="27"/>
    </row>
    <row r="396" spans="16:16">
      <c r="P396" s="27"/>
    </row>
    <row r="397" spans="16:16">
      <c r="P397" s="27"/>
    </row>
    <row r="398" spans="16:16">
      <c r="P398" s="27"/>
    </row>
    <row r="399" spans="16:16">
      <c r="P399" s="27"/>
    </row>
    <row r="400" spans="16:16">
      <c r="P400" s="27"/>
    </row>
    <row r="401" spans="16:16">
      <c r="P401" s="27"/>
    </row>
    <row r="402" spans="16:16">
      <c r="P402" s="27"/>
    </row>
    <row r="403" spans="16:16">
      <c r="P403" s="27"/>
    </row>
    <row r="404" spans="16:16">
      <c r="P404" s="27"/>
    </row>
    <row r="405" spans="16:16">
      <c r="P405" s="27"/>
    </row>
    <row r="406" spans="16:16">
      <c r="P406" s="28"/>
    </row>
    <row r="407" spans="16:16">
      <c r="P407" s="28"/>
    </row>
    <row r="408" spans="16:16">
      <c r="P408" s="28"/>
    </row>
    <row r="409" spans="16:16">
      <c r="P409" s="28"/>
    </row>
    <row r="410" spans="16:16">
      <c r="P410" s="27"/>
    </row>
    <row r="411" spans="16:16">
      <c r="P411" s="27"/>
    </row>
    <row r="412" spans="16:16">
      <c r="P412" s="27"/>
    </row>
    <row r="413" spans="16:16">
      <c r="P413" s="27"/>
    </row>
    <row r="414" spans="16:16">
      <c r="P414" s="27"/>
    </row>
    <row r="415" spans="16:16">
      <c r="P415" s="27"/>
    </row>
    <row r="416" spans="16:16">
      <c r="P416" s="27"/>
    </row>
    <row r="417" spans="16:16">
      <c r="P417" s="27"/>
    </row>
    <row r="418" spans="16:16">
      <c r="P418" s="27"/>
    </row>
    <row r="419" spans="16:16">
      <c r="P419" s="27"/>
    </row>
    <row r="420" spans="16:16">
      <c r="P420" s="27"/>
    </row>
    <row r="421" spans="16:16">
      <c r="P421" s="27"/>
    </row>
    <row r="422" spans="16:16">
      <c r="P422" s="27"/>
    </row>
    <row r="423" spans="16:16">
      <c r="P423" s="27"/>
    </row>
    <row r="424" spans="16:16">
      <c r="P424" s="27"/>
    </row>
    <row r="425" spans="16:16">
      <c r="P425" s="27"/>
    </row>
    <row r="426" spans="16:16">
      <c r="P426" s="27"/>
    </row>
    <row r="427" spans="16:16">
      <c r="P427" s="27"/>
    </row>
    <row r="428" spans="16:16">
      <c r="P428" s="27"/>
    </row>
    <row r="429" spans="16:16">
      <c r="P429" s="27"/>
    </row>
    <row r="430" spans="16:16">
      <c r="P430" s="27"/>
    </row>
    <row r="431" spans="16:16">
      <c r="P431" s="27"/>
    </row>
    <row r="432" spans="16:16">
      <c r="P432" s="27"/>
    </row>
    <row r="433" spans="16:16">
      <c r="P433" s="27"/>
    </row>
    <row r="434" spans="16:16">
      <c r="P434" s="27"/>
    </row>
    <row r="435" spans="16:16">
      <c r="P435" s="27"/>
    </row>
    <row r="436" spans="16:16">
      <c r="P436" s="27"/>
    </row>
    <row r="437" spans="16:16">
      <c r="P437" s="27"/>
    </row>
    <row r="438" spans="16:16">
      <c r="P438" s="27"/>
    </row>
    <row r="439" spans="16:16">
      <c r="P439" s="28"/>
    </row>
    <row r="440" spans="16:16">
      <c r="P440" s="28"/>
    </row>
    <row r="441" spans="16:16">
      <c r="P441" s="27"/>
    </row>
    <row r="442" spans="16:16">
      <c r="P442" s="27"/>
    </row>
    <row r="443" spans="16:16">
      <c r="P443" s="27"/>
    </row>
    <row r="444" spans="16:16">
      <c r="P444" s="27"/>
    </row>
    <row r="445" spans="16:16">
      <c r="P445" s="27"/>
    </row>
    <row r="446" spans="16:16">
      <c r="P446" s="27"/>
    </row>
    <row r="447" spans="16:16">
      <c r="P447" s="27"/>
    </row>
    <row r="448" spans="16:16">
      <c r="P448" s="27"/>
    </row>
    <row r="449" spans="16:16">
      <c r="P449" s="27"/>
    </row>
    <row r="450" spans="16:16">
      <c r="P450" s="27"/>
    </row>
    <row r="451" spans="16:16">
      <c r="P451" s="27"/>
    </row>
    <row r="452" spans="16:16">
      <c r="P452" s="27"/>
    </row>
    <row r="453" spans="16:16">
      <c r="P453" s="27"/>
    </row>
    <row r="454" spans="16:16">
      <c r="P454" s="27"/>
    </row>
    <row r="455" spans="16:16">
      <c r="P455" s="27"/>
    </row>
    <row r="456" spans="16:16">
      <c r="P456" s="27"/>
    </row>
    <row r="457" spans="16:16">
      <c r="P457" s="27"/>
    </row>
    <row r="458" spans="16:16">
      <c r="P458" s="27"/>
    </row>
    <row r="459" spans="16:16">
      <c r="P459" s="27"/>
    </row>
    <row r="460" spans="16:16">
      <c r="P460" s="27"/>
    </row>
    <row r="461" spans="16:16">
      <c r="P461" s="27"/>
    </row>
    <row r="462" spans="16:16">
      <c r="P462" s="27"/>
    </row>
    <row r="463" spans="16:16">
      <c r="P463" s="27"/>
    </row>
    <row r="464" spans="16:16">
      <c r="P464" s="27"/>
    </row>
    <row r="465" spans="16:16">
      <c r="P465" s="27"/>
    </row>
    <row r="466" spans="16:16">
      <c r="P466" s="27"/>
    </row>
    <row r="467" spans="16:16">
      <c r="P467" s="27"/>
    </row>
    <row r="468" spans="16:16">
      <c r="P468" s="27"/>
    </row>
    <row r="469" spans="16:16">
      <c r="P469" s="27"/>
    </row>
    <row r="470" spans="16:16">
      <c r="P470" s="27"/>
    </row>
    <row r="471" spans="16:16">
      <c r="P471" s="27"/>
    </row>
    <row r="472" spans="16:16">
      <c r="P472" s="27"/>
    </row>
    <row r="473" spans="16:16">
      <c r="P473" s="27"/>
    </row>
    <row r="474" spans="16:16">
      <c r="P474" s="27"/>
    </row>
    <row r="475" spans="16:16">
      <c r="P475" s="28" t="s">
        <v>57</v>
      </c>
    </row>
    <row r="476" spans="16:16">
      <c r="P476" s="27"/>
    </row>
    <row r="477" spans="16:16">
      <c r="P477" s="27"/>
    </row>
    <row r="478" spans="16:16">
      <c r="P478" s="27"/>
    </row>
    <row r="479" spans="16:16">
      <c r="P479" s="28"/>
    </row>
    <row r="480" spans="16:16">
      <c r="P480" s="27"/>
    </row>
    <row r="481" spans="16:16">
      <c r="P481" s="27"/>
    </row>
    <row r="482" spans="16:16">
      <c r="P482" s="27"/>
    </row>
    <row r="483" spans="16:16">
      <c r="P483" s="27"/>
    </row>
    <row r="484" spans="16:16">
      <c r="P484" s="27"/>
    </row>
    <row r="485" spans="16:16">
      <c r="P485" s="27"/>
    </row>
    <row r="486" spans="16:16">
      <c r="P486" s="27"/>
    </row>
    <row r="487" spans="16:16">
      <c r="P487" s="27"/>
    </row>
    <row r="488" spans="16:16">
      <c r="P488" s="27"/>
    </row>
    <row r="489" spans="16:16">
      <c r="P489" s="27"/>
    </row>
  </sheetData>
  <autoFilter ref="A1:O4">
    <extLst/>
  </autoFilter>
  <dataValidations count="6">
    <dataValidation type="list" allowBlank="1" showInputMessage="1" showErrorMessage="1" sqref="C2 I2 C3:C1048576 I3:I1048576">
      <formula1>基准数据库!$B:$B</formula1>
    </dataValidation>
    <dataValidation type="list" allowBlank="1" showInputMessage="1" showErrorMessage="1" sqref="D2 D3:D1048576">
      <formula1>基准数据库!$A:$A</formula1>
    </dataValidation>
    <dataValidation type="list" allowBlank="1" showInputMessage="1" showErrorMessage="1" sqref="F2 J2 F3:F1048576 J3:J1048576">
      <formula1>基准数据库!$C:$C</formula1>
    </dataValidation>
    <dataValidation type="list" allowBlank="1" showInputMessage="1" showErrorMessage="1" sqref="K2 K3:K1048576">
      <formula1>"V,X,0"</formula1>
    </dataValidation>
    <dataValidation type="list" allowBlank="1" showInputMessage="1" showErrorMessage="1" sqref="M2 M3:M1048576">
      <formula1>"立项"</formula1>
    </dataValidation>
    <dataValidation type="list" allowBlank="1" showInputMessage="1" showErrorMessage="1" sqref="L2:L4 L5:L1048576">
      <formula1>"1,-1,0"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pane ySplit="1" topLeftCell="A2" activePane="bottomLeft" state="frozen"/>
      <selection/>
      <selection pane="bottomLeft" activeCell="F15" sqref="F15"/>
    </sheetView>
  </sheetViews>
  <sheetFormatPr defaultColWidth="9" defaultRowHeight="15.6"/>
  <cols>
    <col min="1" max="1" width="15" style="1" customWidth="1"/>
    <col min="2" max="9" width="10" style="1" customWidth="1"/>
    <col min="10" max="16384" width="9" style="1"/>
  </cols>
  <sheetData>
    <row r="1" ht="24" customHeight="1" spans="1:9">
      <c r="A1" s="2" t="s">
        <v>52</v>
      </c>
      <c r="B1" s="3" t="s">
        <v>51</v>
      </c>
      <c r="C1" s="3" t="s">
        <v>53</v>
      </c>
      <c r="D1" s="4"/>
      <c r="E1" s="4"/>
      <c r="F1" s="4"/>
      <c r="G1" s="4"/>
      <c r="H1" s="4"/>
      <c r="I1" s="4"/>
    </row>
    <row r="2" ht="24" customHeight="1" spans="1:9">
      <c r="A2" s="3" t="s">
        <v>51</v>
      </c>
      <c r="B2" s="3" t="s">
        <v>58</v>
      </c>
      <c r="C2" s="3" t="s">
        <v>36</v>
      </c>
      <c r="D2" s="4"/>
      <c r="E2" s="4"/>
      <c r="F2" s="4"/>
      <c r="G2" s="4"/>
      <c r="H2" s="4"/>
      <c r="I2" s="4"/>
    </row>
    <row r="3" ht="24" customHeight="1" spans="1:9">
      <c r="A3" s="3" t="s">
        <v>59</v>
      </c>
      <c r="B3" s="3" t="s">
        <v>60</v>
      </c>
      <c r="C3" s="3" t="s">
        <v>32</v>
      </c>
      <c r="D3" s="4"/>
      <c r="E3" s="4"/>
      <c r="F3" s="4"/>
      <c r="G3" s="4"/>
      <c r="H3" s="4"/>
      <c r="I3" s="4"/>
    </row>
    <row r="4" ht="24" customHeight="1" spans="1:9">
      <c r="A4" s="3" t="s">
        <v>61</v>
      </c>
      <c r="B4" s="3" t="s">
        <v>62</v>
      </c>
      <c r="C4" s="3" t="s">
        <v>25</v>
      </c>
      <c r="D4" s="4"/>
      <c r="E4" s="4"/>
      <c r="F4" s="4"/>
      <c r="G4" s="4"/>
      <c r="H4" s="4"/>
      <c r="I4" s="4"/>
    </row>
    <row r="5" ht="24" customHeight="1" spans="1:9">
      <c r="A5" s="3" t="s">
        <v>63</v>
      </c>
      <c r="B5" s="3" t="s">
        <v>64</v>
      </c>
      <c r="C5" s="3" t="s">
        <v>33</v>
      </c>
      <c r="D5" s="4"/>
      <c r="E5" s="4"/>
      <c r="F5" s="4"/>
      <c r="G5" s="4"/>
      <c r="H5" s="4"/>
      <c r="I5" s="4"/>
    </row>
    <row r="6" ht="24" customHeight="1" spans="1:9">
      <c r="A6" s="3" t="s">
        <v>65</v>
      </c>
      <c r="B6" s="3" t="s">
        <v>66</v>
      </c>
      <c r="C6" s="3" t="s">
        <v>67</v>
      </c>
      <c r="D6" s="4"/>
      <c r="E6" s="4"/>
      <c r="F6" s="4"/>
      <c r="G6" s="4"/>
      <c r="H6" s="4"/>
      <c r="I6" s="4"/>
    </row>
    <row r="7" ht="24" customHeight="1" spans="1:9">
      <c r="A7" s="3" t="s">
        <v>68</v>
      </c>
      <c r="B7" s="3" t="s">
        <v>69</v>
      </c>
      <c r="C7" s="3" t="s">
        <v>70</v>
      </c>
      <c r="D7" s="4"/>
      <c r="E7" s="4"/>
      <c r="F7" s="4"/>
      <c r="G7" s="4"/>
      <c r="H7" s="4"/>
      <c r="I7" s="4"/>
    </row>
    <row r="8" ht="24" customHeight="1" spans="1:9">
      <c r="A8" s="5" t="s">
        <v>71</v>
      </c>
      <c r="B8" s="3" t="s">
        <v>72</v>
      </c>
      <c r="C8" s="3" t="s">
        <v>30</v>
      </c>
      <c r="D8" s="4"/>
      <c r="E8" s="4"/>
      <c r="F8" s="4"/>
      <c r="G8" s="4"/>
      <c r="H8" s="4"/>
      <c r="I8" s="4"/>
    </row>
    <row r="9" ht="24" customHeight="1" spans="1:9">
      <c r="A9" s="3" t="s">
        <v>73</v>
      </c>
      <c r="B9" s="3" t="s">
        <v>74</v>
      </c>
      <c r="C9" s="3" t="s">
        <v>26</v>
      </c>
      <c r="D9" s="4"/>
      <c r="E9" s="4"/>
      <c r="F9" s="4"/>
      <c r="G9" s="4"/>
      <c r="H9" s="4"/>
      <c r="I9" s="4"/>
    </row>
    <row r="10" ht="24" customHeight="1" spans="1:9">
      <c r="A10" s="2"/>
      <c r="B10" s="3" t="s">
        <v>75</v>
      </c>
      <c r="C10" s="3" t="s">
        <v>27</v>
      </c>
      <c r="D10" s="4"/>
      <c r="E10" s="4"/>
      <c r="F10" s="4"/>
      <c r="G10" s="4"/>
      <c r="H10" s="4"/>
      <c r="I10" s="4"/>
    </row>
    <row r="11" ht="24" customHeight="1" spans="1:9">
      <c r="A11" s="6"/>
      <c r="B11" s="3" t="s">
        <v>46</v>
      </c>
      <c r="C11" s="5" t="s">
        <v>76</v>
      </c>
      <c r="D11" s="4"/>
      <c r="E11" s="4"/>
      <c r="F11" s="4"/>
      <c r="G11" s="4"/>
      <c r="H11" s="4"/>
      <c r="I11" s="4"/>
    </row>
    <row r="12" ht="24" customHeight="1" spans="1:9">
      <c r="A12" s="6"/>
      <c r="B12" s="3" t="s">
        <v>55</v>
      </c>
      <c r="C12" s="3" t="s">
        <v>77</v>
      </c>
      <c r="D12" s="4"/>
      <c r="E12" s="4"/>
      <c r="F12" s="4"/>
      <c r="G12" s="4"/>
      <c r="H12" s="4"/>
      <c r="I12" s="4"/>
    </row>
    <row r="13" ht="24" customHeight="1" spans="1:9">
      <c r="A13" s="6"/>
      <c r="B13" s="3" t="s">
        <v>78</v>
      </c>
      <c r="C13" s="7" t="s">
        <v>79</v>
      </c>
      <c r="D13" s="4"/>
      <c r="E13" s="4"/>
      <c r="F13" s="4"/>
      <c r="G13" s="4"/>
      <c r="H13" s="4"/>
      <c r="I13" s="4"/>
    </row>
    <row r="14" ht="24" customHeight="1" spans="1:9">
      <c r="A14" s="6"/>
      <c r="B14" s="5" t="s">
        <v>80</v>
      </c>
      <c r="C14" s="8" t="s">
        <v>81</v>
      </c>
      <c r="D14" s="4"/>
      <c r="E14" s="4"/>
      <c r="F14" s="4"/>
      <c r="G14" s="4"/>
      <c r="H14" s="4"/>
      <c r="I14" s="4"/>
    </row>
    <row r="15" ht="24" customHeight="1" spans="1:9">
      <c r="A15" s="6"/>
      <c r="B15" s="3" t="s">
        <v>82</v>
      </c>
      <c r="C15" s="3" t="s">
        <v>24</v>
      </c>
      <c r="D15" s="4"/>
      <c r="E15" s="4"/>
      <c r="F15" s="4"/>
      <c r="G15" s="4"/>
      <c r="H15" s="4"/>
      <c r="I15" s="4"/>
    </row>
    <row r="16" ht="24" customHeight="1" spans="1:9">
      <c r="A16" s="6"/>
      <c r="B16" s="7" t="s">
        <v>83</v>
      </c>
      <c r="C16" s="3" t="s">
        <v>34</v>
      </c>
      <c r="D16" s="4"/>
      <c r="E16" s="4"/>
      <c r="F16" s="4"/>
      <c r="G16" s="4"/>
      <c r="H16" s="4"/>
      <c r="I16" s="4"/>
    </row>
    <row r="17" ht="24" customHeight="1" spans="1:9">
      <c r="A17" s="6"/>
      <c r="B17" s="2"/>
      <c r="C17" s="3" t="s">
        <v>31</v>
      </c>
      <c r="D17" s="4"/>
      <c r="E17" s="4"/>
      <c r="F17" s="4"/>
      <c r="G17" s="4"/>
      <c r="H17" s="4"/>
      <c r="I17" s="4"/>
    </row>
    <row r="18" ht="24" customHeight="1" spans="1:9">
      <c r="A18" s="6"/>
      <c r="B18" s="6"/>
      <c r="C18" s="3" t="s">
        <v>35</v>
      </c>
      <c r="D18" s="4"/>
      <c r="E18" s="4"/>
      <c r="F18" s="4"/>
      <c r="G18" s="4"/>
      <c r="H18" s="4"/>
      <c r="I18" s="4"/>
    </row>
    <row r="19" ht="24" customHeight="1" spans="1:9">
      <c r="A19" s="6"/>
      <c r="B19" s="6"/>
      <c r="C19" s="3" t="s">
        <v>37</v>
      </c>
      <c r="D19" s="4"/>
      <c r="E19" s="4"/>
      <c r="F19" s="4"/>
      <c r="G19" s="4"/>
      <c r="H19" s="4"/>
      <c r="I19" s="4"/>
    </row>
    <row r="20" ht="24" customHeight="1" spans="1:9">
      <c r="A20" s="6"/>
      <c r="B20" s="6"/>
      <c r="C20" s="3" t="s">
        <v>29</v>
      </c>
      <c r="D20" s="4"/>
      <c r="E20" s="4"/>
      <c r="F20" s="4"/>
      <c r="G20" s="4"/>
      <c r="H20" s="4"/>
      <c r="I20" s="4"/>
    </row>
    <row r="21" ht="24" customHeight="1" spans="1:9">
      <c r="A21" s="6"/>
      <c r="B21" s="6"/>
      <c r="C21" s="3" t="s">
        <v>84</v>
      </c>
      <c r="D21" s="4"/>
      <c r="E21" s="4"/>
      <c r="F21" s="4"/>
      <c r="G21" s="4"/>
      <c r="H21" s="4"/>
      <c r="I21" s="4"/>
    </row>
    <row r="22" ht="24" customHeight="1" spans="1:9">
      <c r="A22" s="6"/>
      <c r="B22" s="6"/>
      <c r="C22" s="3" t="s">
        <v>85</v>
      </c>
      <c r="D22" s="4"/>
      <c r="E22" s="4"/>
      <c r="F22" s="4"/>
      <c r="G22" s="4"/>
      <c r="H22" s="4"/>
      <c r="I22" s="4"/>
    </row>
    <row r="23" ht="24" customHeight="1" spans="1:9">
      <c r="A23" s="6"/>
      <c r="B23" s="6"/>
      <c r="C23" s="3" t="s">
        <v>86</v>
      </c>
      <c r="D23" s="4"/>
      <c r="E23" s="4"/>
      <c r="F23" s="4"/>
      <c r="G23" s="4"/>
      <c r="H23" s="4"/>
      <c r="I23" s="4"/>
    </row>
    <row r="24" ht="24" customHeight="1" spans="1:9">
      <c r="A24" s="6"/>
      <c r="B24" s="6"/>
      <c r="C24" s="3" t="s">
        <v>87</v>
      </c>
      <c r="D24" s="4"/>
      <c r="E24" s="4"/>
      <c r="F24" s="4"/>
      <c r="G24" s="4"/>
      <c r="H24" s="4"/>
      <c r="I24" s="4"/>
    </row>
    <row r="25" ht="24" customHeight="1" spans="1:9">
      <c r="A25" s="6"/>
      <c r="B25" s="6"/>
      <c r="D25" s="4"/>
      <c r="E25" s="4"/>
      <c r="F25" s="4"/>
      <c r="G25" s="4"/>
      <c r="H25" s="4"/>
      <c r="I25" s="4"/>
    </row>
    <row r="26" ht="24" customHeight="1" spans="1:9">
      <c r="A26" s="6"/>
      <c r="B26" s="6"/>
      <c r="C26" s="3"/>
      <c r="D26" s="4"/>
      <c r="E26" s="4"/>
      <c r="F26" s="4"/>
      <c r="G26" s="4"/>
      <c r="H26" s="4"/>
      <c r="I26" s="4"/>
    </row>
    <row r="27" ht="24" customHeight="1" spans="1:9">
      <c r="A27" s="6"/>
      <c r="B27" s="6"/>
      <c r="D27" s="4"/>
      <c r="E27" s="4"/>
      <c r="F27" s="4"/>
      <c r="G27" s="4"/>
      <c r="H27" s="4"/>
      <c r="I27" s="4"/>
    </row>
    <row r="28" ht="24" customHeight="1" spans="1:9">
      <c r="A28" s="6"/>
      <c r="B28" s="6"/>
      <c r="D28" s="4"/>
      <c r="E28" s="4"/>
      <c r="F28" s="4"/>
      <c r="G28" s="4"/>
      <c r="H28" s="4"/>
      <c r="I28" s="4"/>
    </row>
    <row r="29" ht="24" customHeight="1" spans="1:9">
      <c r="A29" s="6"/>
      <c r="B29" s="6"/>
      <c r="D29" s="4"/>
      <c r="E29" s="4"/>
      <c r="F29" s="4"/>
      <c r="G29" s="4"/>
      <c r="H29" s="4"/>
      <c r="I29" s="4"/>
    </row>
    <row r="30" ht="24" customHeight="1" spans="1:9">
      <c r="A30" s="6"/>
      <c r="B30" s="6"/>
      <c r="D30" s="4"/>
      <c r="E30" s="4"/>
      <c r="F30" s="4"/>
      <c r="G30" s="4"/>
      <c r="H30" s="4"/>
      <c r="I30" s="4"/>
    </row>
    <row r="31" ht="24" customHeight="1" spans="1:9">
      <c r="A31" s="6"/>
      <c r="B31" s="6"/>
      <c r="D31" s="4"/>
      <c r="E31" s="4"/>
      <c r="F31" s="4"/>
      <c r="G31" s="4"/>
      <c r="H31" s="4"/>
      <c r="I31" s="4"/>
    </row>
    <row r="32" ht="24" customHeight="1" spans="1:9">
      <c r="A32" s="6"/>
      <c r="B32" s="6"/>
      <c r="C32" s="6"/>
      <c r="D32" s="4"/>
      <c r="E32" s="4"/>
      <c r="F32" s="4"/>
      <c r="G32" s="4"/>
      <c r="H32" s="4"/>
      <c r="I32" s="4"/>
    </row>
    <row r="33" ht="24" customHeight="1" spans="1:9">
      <c r="A33" s="6"/>
      <c r="B33" s="6"/>
      <c r="C33" s="6"/>
      <c r="D33" s="4"/>
      <c r="E33" s="4"/>
      <c r="F33" s="4"/>
      <c r="G33" s="4"/>
      <c r="H33" s="4"/>
      <c r="I33" s="4"/>
    </row>
    <row r="34" ht="24" customHeight="1" spans="1:9">
      <c r="A34" s="6"/>
      <c r="B34" s="6"/>
      <c r="C34" s="6"/>
      <c r="D34" s="4"/>
      <c r="E34" s="4"/>
      <c r="F34" s="4"/>
      <c r="G34" s="4"/>
      <c r="H34" s="4"/>
      <c r="I34" s="4"/>
    </row>
    <row r="35" ht="24" customHeight="1" spans="1:9">
      <c r="A35" s="6"/>
      <c r="B35" s="6"/>
      <c r="C35" s="6"/>
      <c r="D35" s="4"/>
      <c r="E35" s="4"/>
      <c r="F35" s="4"/>
      <c r="G35" s="4"/>
      <c r="H35" s="4"/>
      <c r="I35" s="4"/>
    </row>
    <row r="36" ht="24" customHeight="1" spans="1:9">
      <c r="A36" s="6"/>
      <c r="B36" s="6"/>
      <c r="C36" s="6"/>
      <c r="D36" s="4"/>
      <c r="E36" s="4"/>
      <c r="F36" s="4"/>
      <c r="G36" s="4"/>
      <c r="H36" s="4"/>
      <c r="I36" s="4"/>
    </row>
    <row r="37" ht="24" customHeight="1" spans="1:9">
      <c r="A37" s="6"/>
      <c r="B37" s="6"/>
      <c r="C37" s="6"/>
      <c r="D37" s="4"/>
      <c r="E37" s="4"/>
      <c r="F37" s="4"/>
      <c r="G37" s="4"/>
      <c r="H37" s="4"/>
      <c r="I37" s="4"/>
    </row>
    <row r="38" ht="24" customHeight="1" spans="1:9">
      <c r="A38" s="6"/>
      <c r="B38" s="6"/>
      <c r="C38" s="6"/>
      <c r="D38" s="4"/>
      <c r="E38" s="4"/>
      <c r="F38" s="4"/>
      <c r="G38" s="4"/>
      <c r="H38" s="4"/>
      <c r="I38" s="4"/>
    </row>
    <row r="39" ht="24" customHeight="1" spans="1:9">
      <c r="A39" s="6"/>
      <c r="B39" s="6"/>
      <c r="C39" s="6"/>
      <c r="D39" s="4"/>
      <c r="E39" s="4"/>
      <c r="F39" s="4"/>
      <c r="G39" s="4"/>
      <c r="H39" s="4"/>
      <c r="I39" s="4"/>
    </row>
    <row r="40" ht="24" customHeight="1" spans="1:9">
      <c r="A40" s="6"/>
      <c r="B40" s="6"/>
      <c r="C40" s="6"/>
      <c r="D40" s="4"/>
      <c r="E40" s="4"/>
      <c r="F40" s="4"/>
      <c r="G40" s="4"/>
      <c r="H40" s="4"/>
      <c r="I40" s="4"/>
    </row>
    <row r="41" ht="24" customHeight="1" spans="1:9">
      <c r="A41" s="6"/>
      <c r="B41" s="6"/>
      <c r="C41" s="6"/>
      <c r="D41" s="4"/>
      <c r="E41" s="4"/>
      <c r="F41" s="4"/>
      <c r="G41" s="4"/>
      <c r="H41" s="4"/>
      <c r="I41" s="4"/>
    </row>
    <row r="42" ht="24" customHeight="1" spans="1:9">
      <c r="A42" s="6"/>
      <c r="B42" s="6"/>
      <c r="C42" s="6"/>
      <c r="D42" s="4"/>
      <c r="E42" s="4"/>
      <c r="F42" s="4"/>
      <c r="G42" s="4"/>
      <c r="H42" s="4"/>
      <c r="I42" s="4"/>
    </row>
    <row r="43" ht="24" customHeight="1" spans="1:9">
      <c r="A43" s="6"/>
      <c r="B43" s="6"/>
      <c r="C43" s="6"/>
      <c r="D43" s="4"/>
      <c r="E43" s="4"/>
      <c r="F43" s="4"/>
      <c r="G43" s="4"/>
      <c r="H43" s="4"/>
      <c r="I43" s="4"/>
    </row>
    <row r="44" ht="24" customHeight="1" spans="1:9">
      <c r="A44" s="6"/>
      <c r="B44" s="6"/>
      <c r="C44" s="6"/>
      <c r="D44" s="4"/>
      <c r="E44" s="4"/>
      <c r="F44" s="4"/>
      <c r="G44" s="4"/>
      <c r="H44" s="4"/>
      <c r="I44" s="4"/>
    </row>
    <row r="45" ht="24" customHeight="1" spans="1:9">
      <c r="A45" s="6"/>
      <c r="B45" s="6"/>
      <c r="C45" s="6"/>
      <c r="D45" s="4"/>
      <c r="E45" s="4"/>
      <c r="F45" s="4"/>
      <c r="G45" s="4"/>
      <c r="H45" s="4"/>
      <c r="I45" s="4"/>
    </row>
    <row r="46" ht="24" customHeight="1" spans="1:9">
      <c r="A46" s="6"/>
      <c r="B46" s="6"/>
      <c r="C46" s="6"/>
      <c r="D46" s="4"/>
      <c r="E46" s="4"/>
      <c r="F46" s="4"/>
      <c r="G46" s="4"/>
      <c r="H46" s="4"/>
      <c r="I46" s="4"/>
    </row>
    <row r="47" ht="24" customHeight="1" spans="1:9">
      <c r="A47" s="6"/>
      <c r="B47" s="6"/>
      <c r="C47" s="6"/>
      <c r="D47" s="4"/>
      <c r="E47" s="4"/>
      <c r="F47" s="4"/>
      <c r="G47" s="4"/>
      <c r="H47" s="4"/>
      <c r="I47" s="4"/>
    </row>
    <row r="48" ht="24" customHeight="1" spans="1:9">
      <c r="A48" s="6"/>
      <c r="B48" s="6"/>
      <c r="C48" s="6"/>
      <c r="D48" s="4"/>
      <c r="E48" s="4"/>
      <c r="F48" s="4"/>
      <c r="G48" s="4"/>
      <c r="H48" s="4"/>
      <c r="I48" s="4"/>
    </row>
    <row r="49" ht="24" customHeight="1" spans="1:9">
      <c r="A49" s="6"/>
      <c r="B49" s="6"/>
      <c r="C49" s="6"/>
      <c r="D49" s="4"/>
      <c r="E49" s="4"/>
      <c r="F49" s="4"/>
      <c r="G49" s="4"/>
      <c r="H49" s="4"/>
      <c r="I49" s="4"/>
    </row>
    <row r="50" ht="24" customHeight="1" spans="1:9">
      <c r="A50" s="6"/>
      <c r="B50" s="6"/>
      <c r="C50" s="6"/>
      <c r="D50" s="4"/>
      <c r="E50" s="4"/>
      <c r="F50" s="4"/>
      <c r="G50" s="4"/>
      <c r="H50" s="4"/>
      <c r="I50" s="4"/>
    </row>
    <row r="51" ht="24" customHeight="1" spans="1:9">
      <c r="A51" s="6"/>
      <c r="B51" s="6"/>
      <c r="C51" s="6"/>
      <c r="D51" s="4"/>
      <c r="E51" s="4"/>
      <c r="F51" s="4"/>
      <c r="G51" s="4"/>
      <c r="H51" s="4"/>
      <c r="I51" s="4"/>
    </row>
    <row r="52" ht="24" customHeight="1" spans="1:9">
      <c r="A52" s="6"/>
      <c r="B52" s="6"/>
      <c r="C52" s="6"/>
      <c r="D52" s="4"/>
      <c r="E52" s="4"/>
      <c r="F52" s="4"/>
      <c r="G52" s="4"/>
      <c r="H52" s="4"/>
      <c r="I52" s="4"/>
    </row>
    <row r="53" ht="24" customHeight="1" spans="1:9">
      <c r="A53" s="6"/>
      <c r="B53" s="6"/>
      <c r="C53" s="6"/>
      <c r="D53" s="4"/>
      <c r="E53" s="4"/>
      <c r="F53" s="4"/>
      <c r="G53" s="4"/>
      <c r="H53" s="4"/>
      <c r="I53" s="4"/>
    </row>
    <row r="54" ht="24" customHeight="1" spans="1:9">
      <c r="A54" s="6"/>
      <c r="B54" s="6"/>
      <c r="C54" s="6"/>
      <c r="D54" s="4"/>
      <c r="E54" s="4"/>
      <c r="F54" s="4"/>
      <c r="G54" s="4"/>
      <c r="H54" s="4"/>
      <c r="I54" s="4"/>
    </row>
    <row r="55" ht="24" customHeight="1" spans="1:9">
      <c r="A55" s="6"/>
      <c r="B55" s="6"/>
      <c r="C55" s="6"/>
      <c r="D55" s="4"/>
      <c r="E55" s="4"/>
      <c r="F55" s="4"/>
      <c r="G55" s="4"/>
      <c r="H55" s="4"/>
      <c r="I55" s="4"/>
    </row>
    <row r="56" ht="24" customHeight="1" spans="1:9">
      <c r="A56" s="6"/>
      <c r="B56" s="6"/>
      <c r="C56" s="6"/>
      <c r="D56" s="4"/>
      <c r="E56" s="4"/>
      <c r="F56" s="4"/>
      <c r="G56" s="4"/>
      <c r="H56" s="4"/>
      <c r="I56" s="4"/>
    </row>
    <row r="57" ht="24" customHeight="1" spans="1:9">
      <c r="A57" s="6"/>
      <c r="B57" s="6"/>
      <c r="C57" s="6"/>
      <c r="D57" s="4"/>
      <c r="E57" s="4"/>
      <c r="F57" s="4"/>
      <c r="G57" s="4"/>
      <c r="H57" s="4"/>
      <c r="I57" s="4"/>
    </row>
    <row r="58" ht="24" customHeight="1" spans="1:9">
      <c r="A58" s="6"/>
      <c r="B58" s="6"/>
      <c r="C58" s="6"/>
      <c r="D58" s="4"/>
      <c r="E58" s="4"/>
      <c r="F58" s="4"/>
      <c r="G58" s="4"/>
      <c r="H58" s="4"/>
      <c r="I58" s="4"/>
    </row>
    <row r="59" ht="24" customHeight="1" spans="1:9">
      <c r="A59" s="6"/>
      <c r="B59" s="6"/>
      <c r="C59" s="6"/>
      <c r="D59" s="4"/>
      <c r="E59" s="4"/>
      <c r="F59" s="4"/>
      <c r="G59" s="4"/>
      <c r="H59" s="4"/>
      <c r="I59" s="4"/>
    </row>
    <row r="60" ht="24" customHeight="1" spans="1:9">
      <c r="A60" s="6"/>
      <c r="B60" s="6"/>
      <c r="C60" s="6"/>
      <c r="D60" s="4"/>
      <c r="E60" s="4"/>
      <c r="F60" s="4"/>
      <c r="G60" s="4"/>
      <c r="H60" s="4"/>
      <c r="I60" s="4"/>
    </row>
    <row r="61" ht="24" customHeight="1" spans="1:9">
      <c r="A61" s="6"/>
      <c r="B61" s="6"/>
      <c r="C61" s="6"/>
      <c r="D61" s="4"/>
      <c r="E61" s="4"/>
      <c r="F61" s="4"/>
      <c r="G61" s="4"/>
      <c r="H61" s="4"/>
      <c r="I61" s="4"/>
    </row>
    <row r="62" ht="24" customHeight="1" spans="1:9">
      <c r="A62" s="6"/>
      <c r="B62" s="6"/>
      <c r="C62" s="6"/>
      <c r="D62" s="4"/>
      <c r="E62" s="4"/>
      <c r="F62" s="4"/>
      <c r="G62" s="4"/>
      <c r="H62" s="4"/>
      <c r="I62" s="4"/>
    </row>
    <row r="63" ht="24" customHeight="1" spans="1:9">
      <c r="A63" s="6"/>
      <c r="B63" s="6"/>
      <c r="C63" s="6"/>
      <c r="D63" s="4"/>
      <c r="E63" s="4"/>
      <c r="F63" s="4"/>
      <c r="G63" s="4"/>
      <c r="H63" s="4"/>
      <c r="I63" s="4"/>
    </row>
    <row r="64" ht="24" customHeight="1" spans="1:9">
      <c r="A64" s="6"/>
      <c r="B64" s="6"/>
      <c r="C64" s="6"/>
      <c r="D64" s="4"/>
      <c r="E64" s="4"/>
      <c r="F64" s="4"/>
      <c r="G64" s="4"/>
      <c r="H64" s="4"/>
      <c r="I64" s="4"/>
    </row>
    <row r="65" ht="24" customHeight="1" spans="1:9">
      <c r="A65" s="6"/>
      <c r="B65" s="6"/>
      <c r="C65" s="6"/>
      <c r="D65" s="4"/>
      <c r="E65" s="4"/>
      <c r="F65" s="4"/>
      <c r="G65" s="4"/>
      <c r="H65" s="4"/>
      <c r="I65" s="4"/>
    </row>
    <row r="66" ht="24" customHeight="1" spans="1:9">
      <c r="A66" s="6"/>
      <c r="B66" s="6"/>
      <c r="C66" s="6"/>
      <c r="D66" s="4"/>
      <c r="E66" s="4"/>
      <c r="F66" s="4"/>
      <c r="G66" s="4"/>
      <c r="H66" s="4"/>
      <c r="I66" s="4"/>
    </row>
    <row r="67" ht="24" customHeight="1" spans="1:9">
      <c r="A67" s="6"/>
      <c r="B67" s="6"/>
      <c r="C67" s="6"/>
      <c r="D67" s="4"/>
      <c r="E67" s="4"/>
      <c r="F67" s="4"/>
      <c r="G67" s="4"/>
      <c r="H67" s="4"/>
      <c r="I67" s="4"/>
    </row>
    <row r="68" ht="24" customHeight="1" spans="1:9">
      <c r="A68" s="6"/>
      <c r="B68" s="6"/>
      <c r="C68" s="6"/>
      <c r="D68" s="4"/>
      <c r="E68" s="4"/>
      <c r="F68" s="4"/>
      <c r="G68" s="4"/>
      <c r="H68" s="4"/>
      <c r="I68" s="4"/>
    </row>
    <row r="69" ht="24" customHeight="1" spans="1:9">
      <c r="A69" s="6"/>
      <c r="B69" s="6"/>
      <c r="C69" s="6"/>
      <c r="D69" s="4"/>
      <c r="E69" s="4"/>
      <c r="F69" s="4"/>
      <c r="G69" s="4"/>
      <c r="H69" s="4"/>
      <c r="I69" s="4"/>
    </row>
    <row r="70" ht="24" customHeight="1" spans="1:9">
      <c r="A70" s="6"/>
      <c r="B70" s="6"/>
      <c r="C70" s="6"/>
      <c r="D70" s="4"/>
      <c r="E70" s="4"/>
      <c r="F70" s="4"/>
      <c r="G70" s="4"/>
      <c r="H70" s="4"/>
      <c r="I70" s="4"/>
    </row>
    <row r="71" ht="24" customHeight="1" spans="1:9">
      <c r="A71" s="6"/>
      <c r="B71" s="6"/>
      <c r="C71" s="6"/>
      <c r="D71" s="4"/>
      <c r="E71" s="4"/>
      <c r="F71" s="4"/>
      <c r="G71" s="4"/>
      <c r="H71" s="4"/>
      <c r="I71" s="4"/>
    </row>
    <row r="72" ht="24" customHeight="1" spans="1:9">
      <c r="A72" s="6"/>
      <c r="B72" s="6"/>
      <c r="C72" s="6"/>
      <c r="D72" s="4"/>
      <c r="E72" s="4"/>
      <c r="F72" s="4"/>
      <c r="G72" s="4"/>
      <c r="H72" s="4"/>
      <c r="I72" s="4"/>
    </row>
    <row r="73" ht="24" customHeight="1" spans="1:9">
      <c r="A73" s="6"/>
      <c r="B73" s="6"/>
      <c r="C73" s="6"/>
      <c r="D73" s="4"/>
      <c r="E73" s="4"/>
      <c r="F73" s="4"/>
      <c r="G73" s="4"/>
      <c r="H73" s="4"/>
      <c r="I73" s="4"/>
    </row>
    <row r="74" ht="24" customHeight="1" spans="1:9">
      <c r="A74" s="6"/>
      <c r="B74" s="6"/>
      <c r="C74" s="6"/>
      <c r="D74" s="4"/>
      <c r="E74" s="4"/>
      <c r="F74" s="4"/>
      <c r="G74" s="4"/>
      <c r="H74" s="4"/>
      <c r="I74" s="4"/>
    </row>
    <row r="75" ht="24" customHeight="1" spans="1:9">
      <c r="A75" s="6"/>
      <c r="B75" s="6"/>
      <c r="C75" s="6"/>
      <c r="D75" s="4"/>
      <c r="E75" s="4"/>
      <c r="F75" s="4"/>
      <c r="G75" s="4"/>
      <c r="H75" s="4"/>
      <c r="I75" s="4"/>
    </row>
    <row r="76" ht="24" customHeight="1" spans="1:9">
      <c r="A76" s="6"/>
      <c r="B76" s="6"/>
      <c r="C76" s="6"/>
      <c r="D76" s="4"/>
      <c r="E76" s="4"/>
      <c r="F76" s="4"/>
      <c r="G76" s="4"/>
      <c r="H76" s="4"/>
      <c r="I76" s="4"/>
    </row>
    <row r="77" ht="24" customHeight="1" spans="1:9">
      <c r="A77" s="6"/>
      <c r="B77" s="6"/>
      <c r="C77" s="6"/>
      <c r="D77" s="4"/>
      <c r="E77" s="4"/>
      <c r="F77" s="4"/>
      <c r="G77" s="4"/>
      <c r="H77" s="4"/>
      <c r="I77" s="4"/>
    </row>
    <row r="78" ht="24" customHeight="1" spans="1:9">
      <c r="A78" s="6"/>
      <c r="B78" s="6"/>
      <c r="C78" s="6"/>
      <c r="D78" s="4"/>
      <c r="E78" s="4"/>
      <c r="F78" s="4"/>
      <c r="G78" s="4"/>
      <c r="H78" s="4"/>
      <c r="I78" s="4"/>
    </row>
    <row r="79" ht="24" customHeight="1" spans="1:9">
      <c r="A79" s="6"/>
      <c r="B79" s="6"/>
      <c r="C79" s="6"/>
      <c r="D79" s="4"/>
      <c r="E79" s="4"/>
      <c r="F79" s="4"/>
      <c r="G79" s="4"/>
      <c r="H79" s="4"/>
      <c r="I79" s="4"/>
    </row>
    <row r="80" ht="24" customHeight="1" spans="1:9">
      <c r="A80" s="6"/>
      <c r="B80" s="6"/>
      <c r="C80" s="6"/>
      <c r="D80" s="4"/>
      <c r="E80" s="4"/>
      <c r="F80" s="4"/>
      <c r="G80" s="4"/>
      <c r="H80" s="4"/>
      <c r="I80" s="4"/>
    </row>
    <row r="81" ht="24" customHeight="1" spans="1:9">
      <c r="A81" s="6"/>
      <c r="B81" s="6"/>
      <c r="C81" s="6"/>
      <c r="D81" s="4"/>
      <c r="E81" s="4"/>
      <c r="F81" s="4"/>
      <c r="G81" s="4"/>
      <c r="H81" s="4"/>
      <c r="I81" s="4"/>
    </row>
    <row r="82" ht="24" customHeight="1" spans="1:9">
      <c r="A82" s="6"/>
      <c r="B82" s="6"/>
      <c r="C82" s="6"/>
      <c r="D82" s="4"/>
      <c r="E82" s="4"/>
      <c r="F82" s="4"/>
      <c r="G82" s="4"/>
      <c r="H82" s="4"/>
      <c r="I82" s="4"/>
    </row>
    <row r="83" ht="24" customHeight="1" spans="1:9">
      <c r="A83" s="6"/>
      <c r="B83" s="6"/>
      <c r="C83" s="6"/>
      <c r="D83" s="4"/>
      <c r="E83" s="4"/>
      <c r="F83" s="4"/>
      <c r="G83" s="4"/>
      <c r="H83" s="4"/>
      <c r="I83" s="4"/>
    </row>
    <row r="84" ht="24" customHeight="1" spans="1:9">
      <c r="A84" s="6"/>
      <c r="B84" s="6"/>
      <c r="C84" s="6"/>
      <c r="D84" s="4"/>
      <c r="E84" s="4"/>
      <c r="F84" s="4"/>
      <c r="G84" s="4"/>
      <c r="H84" s="4"/>
      <c r="I84" s="4"/>
    </row>
    <row r="85" ht="24" customHeight="1" spans="1:9">
      <c r="A85" s="6"/>
      <c r="B85" s="6"/>
      <c r="C85" s="6"/>
      <c r="D85" s="4"/>
      <c r="E85" s="4"/>
      <c r="F85" s="4"/>
      <c r="G85" s="4"/>
      <c r="H85" s="4"/>
      <c r="I85" s="4"/>
    </row>
    <row r="86" ht="24" customHeight="1" spans="1:9">
      <c r="A86" s="6"/>
      <c r="B86" s="6"/>
      <c r="C86" s="6"/>
      <c r="D86" s="4"/>
      <c r="E86" s="4"/>
      <c r="F86" s="4"/>
      <c r="G86" s="4"/>
      <c r="H86" s="4"/>
      <c r="I86" s="4"/>
    </row>
    <row r="87" ht="24" customHeight="1" spans="1:9">
      <c r="A87" s="6"/>
      <c r="B87" s="6"/>
      <c r="C87" s="6"/>
      <c r="D87" s="4"/>
      <c r="E87" s="4"/>
      <c r="F87" s="4"/>
      <c r="G87" s="4"/>
      <c r="H87" s="4"/>
      <c r="I87" s="4"/>
    </row>
    <row r="88" ht="24" customHeight="1" spans="1:9">
      <c r="A88" s="6"/>
      <c r="B88" s="6"/>
      <c r="C88" s="6"/>
      <c r="D88" s="4"/>
      <c r="E88" s="4"/>
      <c r="F88" s="4"/>
      <c r="G88" s="4"/>
      <c r="H88" s="4"/>
      <c r="I88" s="4"/>
    </row>
    <row r="89" ht="24" customHeight="1" spans="1:9">
      <c r="A89" s="6"/>
      <c r="B89" s="6"/>
      <c r="C89" s="6"/>
      <c r="D89" s="4"/>
      <c r="E89" s="4"/>
      <c r="F89" s="4"/>
      <c r="G89" s="4"/>
      <c r="H89" s="4"/>
      <c r="I89" s="4"/>
    </row>
    <row r="90" ht="24" customHeight="1" spans="1:9">
      <c r="A90" s="6"/>
      <c r="B90" s="6"/>
      <c r="C90" s="6"/>
      <c r="D90" s="4"/>
      <c r="E90" s="4"/>
      <c r="F90" s="4"/>
      <c r="G90" s="4"/>
      <c r="H90" s="4"/>
      <c r="I90" s="4"/>
    </row>
    <row r="91" ht="24" customHeight="1" spans="1:9">
      <c r="A91" s="6"/>
      <c r="B91" s="6"/>
      <c r="C91" s="6"/>
      <c r="D91" s="4"/>
      <c r="E91" s="4"/>
      <c r="F91" s="4"/>
      <c r="G91" s="4"/>
      <c r="H91" s="4"/>
      <c r="I91" s="4"/>
    </row>
    <row r="92" ht="24" customHeight="1" spans="1:9">
      <c r="A92" s="6"/>
      <c r="B92" s="6"/>
      <c r="C92" s="6"/>
      <c r="D92" s="4"/>
      <c r="E92" s="4"/>
      <c r="F92" s="4"/>
      <c r="G92" s="4"/>
      <c r="H92" s="4"/>
      <c r="I92" s="4"/>
    </row>
    <row r="93" ht="24" customHeight="1" spans="1:9">
      <c r="A93" s="6"/>
      <c r="B93" s="6"/>
      <c r="C93" s="6"/>
      <c r="D93" s="4"/>
      <c r="E93" s="4"/>
      <c r="F93" s="4"/>
      <c r="G93" s="4"/>
      <c r="H93" s="4"/>
      <c r="I93" s="4"/>
    </row>
    <row r="94" ht="24" customHeight="1" spans="1:9">
      <c r="A94" s="6"/>
      <c r="B94" s="6"/>
      <c r="C94" s="6"/>
      <c r="D94" s="4"/>
      <c r="E94" s="4"/>
      <c r="F94" s="4"/>
      <c r="G94" s="4"/>
      <c r="H94" s="4"/>
      <c r="I94" s="4"/>
    </row>
    <row r="95" ht="24" customHeight="1" spans="1:9">
      <c r="A95" s="6"/>
      <c r="B95" s="6"/>
      <c r="C95" s="6"/>
      <c r="D95" s="4"/>
      <c r="E95" s="4"/>
      <c r="F95" s="4"/>
      <c r="G95" s="4"/>
      <c r="H95" s="4"/>
      <c r="I95" s="4"/>
    </row>
    <row r="96" ht="24" customHeight="1" spans="1:9">
      <c r="A96" s="6"/>
      <c r="B96" s="6"/>
      <c r="C96" s="6"/>
      <c r="D96" s="4"/>
      <c r="E96" s="4"/>
      <c r="F96" s="4"/>
      <c r="G96" s="4"/>
      <c r="H96" s="4"/>
      <c r="I96" s="4"/>
    </row>
    <row r="97" ht="24" customHeight="1" spans="1:9">
      <c r="A97" s="6"/>
      <c r="B97" s="6"/>
      <c r="C97" s="6"/>
      <c r="D97" s="4"/>
      <c r="E97" s="4"/>
      <c r="F97" s="4"/>
      <c r="G97" s="4"/>
      <c r="H97" s="4"/>
      <c r="I97" s="4"/>
    </row>
    <row r="98" ht="24" customHeight="1" spans="1:9">
      <c r="A98" s="6"/>
      <c r="B98" s="6"/>
      <c r="C98" s="6"/>
      <c r="D98" s="4"/>
      <c r="E98" s="4"/>
      <c r="F98" s="4"/>
      <c r="G98" s="4"/>
      <c r="H98" s="4"/>
      <c r="I98" s="4"/>
    </row>
    <row r="99" ht="24" customHeight="1" spans="1:9">
      <c r="A99" s="6"/>
      <c r="B99" s="6"/>
      <c r="C99" s="6"/>
      <c r="D99" s="4"/>
      <c r="E99" s="4"/>
      <c r="F99" s="4"/>
      <c r="G99" s="4"/>
      <c r="H99" s="4"/>
      <c r="I99" s="4"/>
    </row>
    <row r="100" ht="24" customHeight="1" spans="1:9">
      <c r="A100" s="6"/>
      <c r="B100" s="6"/>
      <c r="C100" s="6"/>
      <c r="D100" s="4"/>
      <c r="E100" s="4"/>
      <c r="F100" s="4"/>
      <c r="G100" s="4"/>
      <c r="H100" s="4"/>
      <c r="I100" s="4"/>
    </row>
    <row r="101" ht="24" customHeight="1" spans="1:9">
      <c r="A101" s="6"/>
      <c r="B101" s="6"/>
      <c r="C101" s="6"/>
      <c r="D101" s="4"/>
      <c r="E101" s="4"/>
      <c r="F101" s="4"/>
      <c r="G101" s="4"/>
      <c r="H101" s="4"/>
      <c r="I101" s="4"/>
    </row>
    <row r="102" ht="24" customHeight="1" spans="1:9">
      <c r="A102" s="6"/>
      <c r="B102" s="6"/>
      <c r="C102" s="6"/>
      <c r="D102" s="4"/>
      <c r="E102" s="4"/>
      <c r="F102" s="4"/>
      <c r="G102" s="4"/>
      <c r="H102" s="4"/>
      <c r="I102" s="4"/>
    </row>
    <row r="103" ht="24" customHeight="1" spans="1:9">
      <c r="A103" s="6"/>
      <c r="B103" s="6"/>
      <c r="C103" s="6"/>
      <c r="D103" s="4"/>
      <c r="E103" s="4"/>
      <c r="F103" s="4"/>
      <c r="G103" s="4"/>
      <c r="H103" s="4"/>
      <c r="I103" s="4"/>
    </row>
    <row r="104" ht="24" customHeight="1" spans="1:9">
      <c r="A104" s="6"/>
      <c r="B104" s="6"/>
      <c r="C104" s="6"/>
      <c r="D104" s="4"/>
      <c r="E104" s="4"/>
      <c r="F104" s="4"/>
      <c r="G104" s="4"/>
      <c r="H104" s="4"/>
      <c r="I104" s="4"/>
    </row>
    <row r="105" ht="24" customHeight="1" spans="1:9">
      <c r="A105" s="6"/>
      <c r="B105" s="6"/>
      <c r="C105" s="6"/>
      <c r="D105" s="4"/>
      <c r="E105" s="4"/>
      <c r="F105" s="4"/>
      <c r="G105" s="4"/>
      <c r="H105" s="4"/>
      <c r="I105" s="4"/>
    </row>
    <row r="106" ht="24" customHeight="1" spans="1:9">
      <c r="A106" s="6"/>
      <c r="B106" s="6"/>
      <c r="C106" s="6"/>
      <c r="D106" s="4"/>
      <c r="E106" s="4"/>
      <c r="F106" s="4"/>
      <c r="G106" s="4"/>
      <c r="H106" s="4"/>
      <c r="I106" s="4"/>
    </row>
    <row r="107" ht="24" customHeight="1" spans="1:9">
      <c r="A107" s="6"/>
      <c r="B107" s="6"/>
      <c r="C107" s="6"/>
      <c r="D107" s="4"/>
      <c r="E107" s="4"/>
      <c r="F107" s="4"/>
      <c r="G107" s="4"/>
      <c r="H107" s="4"/>
      <c r="I107" s="4"/>
    </row>
    <row r="108" ht="24" customHeight="1" spans="1:9">
      <c r="A108" s="6"/>
      <c r="B108" s="6"/>
      <c r="C108" s="6"/>
      <c r="D108" s="4"/>
      <c r="E108" s="4"/>
      <c r="F108" s="4"/>
      <c r="G108" s="4"/>
      <c r="H108" s="4"/>
      <c r="I108" s="4"/>
    </row>
    <row r="109" ht="24" customHeight="1" spans="1:9">
      <c r="A109" s="6"/>
      <c r="B109" s="6"/>
      <c r="C109" s="6"/>
      <c r="D109" s="4"/>
      <c r="E109" s="4"/>
      <c r="F109" s="4"/>
      <c r="G109" s="4"/>
      <c r="H109" s="4"/>
      <c r="I109" s="4"/>
    </row>
    <row r="110" ht="24" customHeight="1" spans="1:9">
      <c r="A110" s="6"/>
      <c r="B110" s="6"/>
      <c r="C110" s="6"/>
      <c r="D110" s="4"/>
      <c r="E110" s="4"/>
      <c r="F110" s="4"/>
      <c r="G110" s="4"/>
      <c r="H110" s="4"/>
      <c r="I110" s="4"/>
    </row>
    <row r="111" ht="24" customHeight="1" spans="1:9">
      <c r="A111" s="6"/>
      <c r="B111" s="6"/>
      <c r="C111" s="6"/>
      <c r="D111" s="4"/>
      <c r="E111" s="4"/>
      <c r="F111" s="4"/>
      <c r="G111" s="4"/>
      <c r="H111" s="4"/>
      <c r="I111" s="4"/>
    </row>
    <row r="112" ht="24" customHeight="1" spans="1:9">
      <c r="A112" s="6"/>
      <c r="B112" s="6"/>
      <c r="C112" s="6"/>
      <c r="D112" s="4"/>
      <c r="E112" s="4"/>
      <c r="F112" s="4"/>
      <c r="G112" s="4"/>
      <c r="H112" s="4"/>
      <c r="I112" s="4"/>
    </row>
    <row r="113" ht="24" customHeight="1" spans="1:9">
      <c r="A113" s="6"/>
      <c r="B113" s="6"/>
      <c r="C113" s="6"/>
      <c r="D113" s="4"/>
      <c r="E113" s="4"/>
      <c r="F113" s="4"/>
      <c r="G113" s="4"/>
      <c r="H113" s="4"/>
      <c r="I113" s="4"/>
    </row>
    <row r="114" ht="24" customHeight="1" spans="1:9">
      <c r="A114" s="6"/>
      <c r="B114" s="6"/>
      <c r="C114" s="6"/>
      <c r="D114" s="4"/>
      <c r="E114" s="4"/>
      <c r="F114" s="4"/>
      <c r="G114" s="4"/>
      <c r="H114" s="4"/>
      <c r="I114" s="4"/>
    </row>
    <row r="115" ht="24" customHeight="1" spans="1:9">
      <c r="A115" s="6"/>
      <c r="B115" s="6"/>
      <c r="C115" s="6"/>
      <c r="D115" s="4"/>
      <c r="E115" s="4"/>
      <c r="F115" s="4"/>
      <c r="G115" s="4"/>
      <c r="H115" s="4"/>
      <c r="I115" s="4"/>
    </row>
    <row r="116" ht="24" customHeight="1" spans="1:9">
      <c r="A116" s="6"/>
      <c r="B116" s="6"/>
      <c r="C116" s="6"/>
      <c r="D116" s="4"/>
      <c r="E116" s="4"/>
      <c r="F116" s="4"/>
      <c r="G116" s="4"/>
      <c r="H116" s="4"/>
      <c r="I116" s="4"/>
    </row>
    <row r="117" ht="24" customHeight="1" spans="1:9">
      <c r="A117" s="6"/>
      <c r="B117" s="6"/>
      <c r="C117" s="6"/>
      <c r="D117" s="4"/>
      <c r="E117" s="4"/>
      <c r="F117" s="4"/>
      <c r="G117" s="4"/>
      <c r="H117" s="4"/>
      <c r="I117" s="4"/>
    </row>
    <row r="118" ht="24" customHeight="1" spans="1:9">
      <c r="A118" s="6"/>
      <c r="B118" s="6"/>
      <c r="C118" s="6"/>
      <c r="D118" s="4"/>
      <c r="E118" s="4"/>
      <c r="F118" s="4"/>
      <c r="G118" s="4"/>
      <c r="H118" s="4"/>
      <c r="I118" s="4"/>
    </row>
    <row r="119" ht="24" customHeight="1" spans="1:9">
      <c r="A119" s="6"/>
      <c r="B119" s="6"/>
      <c r="C119" s="6"/>
      <c r="D119" s="4"/>
      <c r="E119" s="4"/>
      <c r="F119" s="4"/>
      <c r="G119" s="4"/>
      <c r="H119" s="4"/>
      <c r="I119" s="4"/>
    </row>
    <row r="120" ht="24" customHeight="1" spans="1:9">
      <c r="A120" s="6"/>
      <c r="B120" s="6"/>
      <c r="C120" s="6"/>
      <c r="D120" s="4"/>
      <c r="E120" s="4"/>
      <c r="F120" s="4"/>
      <c r="G120" s="4"/>
      <c r="H120" s="4"/>
      <c r="I120" s="4"/>
    </row>
    <row r="121" ht="24" customHeight="1" spans="1:9">
      <c r="A121" s="6"/>
      <c r="B121" s="6"/>
      <c r="C121" s="6"/>
      <c r="D121" s="4"/>
      <c r="E121" s="4"/>
      <c r="F121" s="4"/>
      <c r="G121" s="4"/>
      <c r="H121" s="4"/>
      <c r="I121" s="4"/>
    </row>
    <row r="122" ht="24" customHeight="1" spans="1:9">
      <c r="A122" s="6"/>
      <c r="B122" s="6"/>
      <c r="C122" s="6"/>
      <c r="D122" s="4"/>
      <c r="E122" s="4"/>
      <c r="F122" s="4"/>
      <c r="G122" s="4"/>
      <c r="H122" s="4"/>
      <c r="I122" s="4"/>
    </row>
    <row r="123" ht="24" customHeight="1" spans="1:9">
      <c r="A123" s="6"/>
      <c r="B123" s="6"/>
      <c r="C123" s="6"/>
      <c r="D123" s="4"/>
      <c r="E123" s="4"/>
      <c r="F123" s="4"/>
      <c r="G123" s="4"/>
      <c r="H123" s="4"/>
      <c r="I123" s="4"/>
    </row>
    <row r="124" ht="24" customHeight="1" spans="1:9">
      <c r="A124" s="6"/>
      <c r="B124" s="6"/>
      <c r="C124" s="6"/>
      <c r="D124" s="4"/>
      <c r="E124" s="4"/>
      <c r="F124" s="4"/>
      <c r="G124" s="4"/>
      <c r="H124" s="4"/>
      <c r="I124" s="4"/>
    </row>
    <row r="125" ht="24" customHeight="1" spans="1:9">
      <c r="A125" s="6"/>
      <c r="B125" s="6"/>
      <c r="C125" s="6"/>
      <c r="D125" s="4"/>
      <c r="E125" s="4"/>
      <c r="F125" s="4"/>
      <c r="G125" s="4"/>
      <c r="H125" s="4"/>
      <c r="I125" s="4"/>
    </row>
    <row r="126" ht="24" customHeight="1" spans="1:9">
      <c r="A126" s="6"/>
      <c r="B126" s="6"/>
      <c r="C126" s="6"/>
      <c r="D126" s="4"/>
      <c r="E126" s="4"/>
      <c r="F126" s="4"/>
      <c r="G126" s="4"/>
      <c r="H126" s="4"/>
      <c r="I126" s="4"/>
    </row>
    <row r="127" ht="24" customHeight="1" spans="1:9">
      <c r="A127" s="6"/>
      <c r="B127" s="6"/>
      <c r="C127" s="6"/>
      <c r="D127" s="4"/>
      <c r="E127" s="4"/>
      <c r="F127" s="4"/>
      <c r="G127" s="4"/>
      <c r="H127" s="4"/>
      <c r="I127" s="4"/>
    </row>
    <row r="128" ht="24" customHeight="1" spans="1:9">
      <c r="A128" s="6"/>
      <c r="B128" s="6"/>
      <c r="C128" s="6"/>
      <c r="D128" s="4"/>
      <c r="E128" s="4"/>
      <c r="F128" s="4"/>
      <c r="G128" s="4"/>
      <c r="H128" s="4"/>
      <c r="I128" s="4"/>
    </row>
    <row r="129" ht="24" customHeight="1" spans="1:9">
      <c r="A129" s="6"/>
      <c r="B129" s="6"/>
      <c r="C129" s="6"/>
      <c r="D129" s="4"/>
      <c r="E129" s="4"/>
      <c r="F129" s="4"/>
      <c r="G129" s="4"/>
      <c r="H129" s="4"/>
      <c r="I129" s="4"/>
    </row>
    <row r="130" ht="24" customHeight="1" spans="1:9">
      <c r="A130" s="6"/>
      <c r="B130" s="6"/>
      <c r="C130" s="6"/>
      <c r="D130" s="4"/>
      <c r="E130" s="4"/>
      <c r="F130" s="4"/>
      <c r="G130" s="4"/>
      <c r="H130" s="4"/>
      <c r="I130" s="4"/>
    </row>
    <row r="131" ht="24" customHeight="1" spans="1:9">
      <c r="A131" s="6"/>
      <c r="B131" s="6"/>
      <c r="C131" s="6"/>
      <c r="D131" s="4"/>
      <c r="E131" s="4"/>
      <c r="F131" s="4"/>
      <c r="G131" s="4"/>
      <c r="H131" s="4"/>
      <c r="I131" s="4"/>
    </row>
    <row r="132" ht="24" customHeight="1" spans="1:9">
      <c r="A132" s="6"/>
      <c r="B132" s="6"/>
      <c r="C132" s="6"/>
      <c r="D132" s="4"/>
      <c r="E132" s="4"/>
      <c r="F132" s="4"/>
      <c r="G132" s="4"/>
      <c r="H132" s="4"/>
      <c r="I132" s="4"/>
    </row>
    <row r="133" ht="24" customHeight="1" spans="1:9">
      <c r="A133" s="6"/>
      <c r="B133" s="6"/>
      <c r="C133" s="6"/>
      <c r="D133" s="4"/>
      <c r="E133" s="4"/>
      <c r="F133" s="4"/>
      <c r="G133" s="4"/>
      <c r="H133" s="4"/>
      <c r="I133" s="4"/>
    </row>
    <row r="134" ht="24" customHeight="1" spans="1:9">
      <c r="A134" s="6"/>
      <c r="B134" s="6"/>
      <c r="C134" s="6"/>
      <c r="D134" s="4"/>
      <c r="E134" s="4"/>
      <c r="F134" s="4"/>
      <c r="G134" s="4"/>
      <c r="H134" s="4"/>
      <c r="I134" s="4"/>
    </row>
    <row r="135" ht="24" customHeight="1" spans="1:9">
      <c r="A135" s="6"/>
      <c r="B135" s="6"/>
      <c r="C135" s="6"/>
      <c r="D135" s="4"/>
      <c r="E135" s="4"/>
      <c r="F135" s="4"/>
      <c r="G135" s="4"/>
      <c r="H135" s="4"/>
      <c r="I135" s="4"/>
    </row>
    <row r="136" ht="24" customHeight="1" spans="1:9">
      <c r="A136" s="6"/>
      <c r="B136" s="6"/>
      <c r="C136" s="6"/>
      <c r="D136" s="4"/>
      <c r="E136" s="4"/>
      <c r="F136" s="4"/>
      <c r="G136" s="4"/>
      <c r="H136" s="4"/>
      <c r="I136" s="4"/>
    </row>
    <row r="137" ht="24" customHeight="1" spans="1:9">
      <c r="A137" s="6"/>
      <c r="B137" s="6"/>
      <c r="C137" s="6"/>
      <c r="D137" s="4"/>
      <c r="E137" s="4"/>
      <c r="F137" s="4"/>
      <c r="G137" s="4"/>
      <c r="H137" s="4"/>
      <c r="I137" s="4"/>
    </row>
    <row r="138" ht="24" customHeight="1" spans="1:9">
      <c r="A138" s="6"/>
      <c r="B138" s="6"/>
      <c r="C138" s="6"/>
      <c r="D138" s="4"/>
      <c r="E138" s="4"/>
      <c r="F138" s="4"/>
      <c r="G138" s="4"/>
      <c r="H138" s="4"/>
      <c r="I138" s="4"/>
    </row>
    <row r="139" ht="24" customHeight="1" spans="1:9">
      <c r="A139" s="6"/>
      <c r="B139" s="6"/>
      <c r="C139" s="6"/>
      <c r="D139" s="4"/>
      <c r="E139" s="4"/>
      <c r="F139" s="4"/>
      <c r="G139" s="4"/>
      <c r="H139" s="4"/>
      <c r="I139" s="4"/>
    </row>
    <row r="140" ht="24" customHeight="1" spans="1:9">
      <c r="A140" s="6"/>
      <c r="B140" s="6"/>
      <c r="C140" s="6"/>
      <c r="D140" s="4"/>
      <c r="E140" s="4"/>
      <c r="F140" s="4"/>
      <c r="G140" s="4"/>
      <c r="H140" s="4"/>
      <c r="I140" s="4"/>
    </row>
    <row r="141" ht="24" customHeight="1" spans="1:9">
      <c r="A141" s="6"/>
      <c r="B141" s="6"/>
      <c r="C141" s="6"/>
      <c r="D141" s="4"/>
      <c r="E141" s="4"/>
      <c r="F141" s="4"/>
      <c r="G141" s="4"/>
      <c r="H141" s="4"/>
      <c r="I141" s="4"/>
    </row>
    <row r="142" ht="24" customHeight="1" spans="1:9">
      <c r="A142" s="6"/>
      <c r="B142" s="6"/>
      <c r="C142" s="6"/>
      <c r="D142" s="4"/>
      <c r="E142" s="4"/>
      <c r="F142" s="4"/>
      <c r="G142" s="4"/>
      <c r="H142" s="4"/>
      <c r="I142" s="4"/>
    </row>
    <row r="143" ht="24" customHeight="1" spans="1:9">
      <c r="A143" s="6"/>
      <c r="B143" s="6"/>
      <c r="C143" s="6"/>
      <c r="D143" s="4"/>
      <c r="E143" s="4"/>
      <c r="F143" s="4"/>
      <c r="G143" s="4"/>
      <c r="H143" s="4"/>
      <c r="I143" s="4"/>
    </row>
    <row r="144" ht="24" customHeight="1" spans="1:9">
      <c r="A144" s="6"/>
      <c r="B144" s="6"/>
      <c r="C144" s="6"/>
      <c r="D144" s="4"/>
      <c r="E144" s="4"/>
      <c r="F144" s="4"/>
      <c r="G144" s="4"/>
      <c r="H144" s="4"/>
      <c r="I144" s="4"/>
    </row>
    <row r="145" ht="24" customHeight="1" spans="1:9">
      <c r="A145" s="6"/>
      <c r="B145" s="6"/>
      <c r="C145" s="6"/>
      <c r="D145" s="4"/>
      <c r="E145" s="4"/>
      <c r="F145" s="4"/>
      <c r="G145" s="4"/>
      <c r="H145" s="4"/>
      <c r="I145" s="4"/>
    </row>
    <row r="146" ht="24" customHeight="1" spans="1:9">
      <c r="A146" s="6"/>
      <c r="B146" s="6"/>
      <c r="C146" s="6"/>
      <c r="D146" s="4"/>
      <c r="E146" s="4"/>
      <c r="F146" s="4"/>
      <c r="G146" s="4"/>
      <c r="H146" s="4"/>
      <c r="I146" s="4"/>
    </row>
    <row r="147" ht="24" customHeight="1" spans="1:9">
      <c r="A147" s="6"/>
      <c r="B147" s="6"/>
      <c r="C147" s="6"/>
      <c r="D147" s="4"/>
      <c r="E147" s="4"/>
      <c r="F147" s="4"/>
      <c r="G147" s="4"/>
      <c r="H147" s="4"/>
      <c r="I147" s="4"/>
    </row>
    <row r="148" ht="24" customHeight="1" spans="1:9">
      <c r="A148" s="6"/>
      <c r="B148" s="6"/>
      <c r="C148" s="6"/>
      <c r="D148" s="4"/>
      <c r="E148" s="4"/>
      <c r="F148" s="4"/>
      <c r="G148" s="4"/>
      <c r="H148" s="4"/>
      <c r="I148" s="4"/>
    </row>
    <row r="149" ht="24" customHeight="1" spans="1:9">
      <c r="A149" s="6"/>
      <c r="B149" s="6"/>
      <c r="C149" s="6"/>
      <c r="D149" s="4"/>
      <c r="E149" s="4"/>
      <c r="F149" s="4"/>
      <c r="G149" s="4"/>
      <c r="H149" s="4"/>
      <c r="I149" s="4"/>
    </row>
    <row r="150" ht="24" customHeight="1" spans="1:9">
      <c r="A150" s="6"/>
      <c r="B150" s="6"/>
      <c r="C150" s="6"/>
      <c r="D150" s="4"/>
      <c r="E150" s="4"/>
      <c r="F150" s="4"/>
      <c r="G150" s="4"/>
      <c r="H150" s="4"/>
      <c r="I150" s="4"/>
    </row>
    <row r="151" ht="24" customHeight="1" spans="1:9">
      <c r="A151" s="6"/>
      <c r="B151" s="6"/>
      <c r="C151" s="6"/>
      <c r="D151" s="4"/>
      <c r="E151" s="4"/>
      <c r="F151" s="4"/>
      <c r="G151" s="4"/>
      <c r="H151" s="4"/>
      <c r="I151" s="4"/>
    </row>
    <row r="152" ht="24" customHeight="1" spans="1:9">
      <c r="A152" s="6"/>
      <c r="B152" s="6"/>
      <c r="C152" s="6"/>
      <c r="D152" s="4"/>
      <c r="E152" s="4"/>
      <c r="F152" s="4"/>
      <c r="G152" s="4"/>
      <c r="H152" s="4"/>
      <c r="I152" s="4"/>
    </row>
    <row r="153" ht="24" customHeight="1" spans="1:9">
      <c r="A153" s="6"/>
      <c r="B153" s="6"/>
      <c r="C153" s="6"/>
      <c r="D153" s="4"/>
      <c r="E153" s="4"/>
      <c r="F153" s="4"/>
      <c r="G153" s="4"/>
      <c r="H153" s="4"/>
      <c r="I153" s="4"/>
    </row>
    <row r="154" ht="24" customHeight="1" spans="1:9">
      <c r="A154" s="6"/>
      <c r="B154" s="6"/>
      <c r="C154" s="6"/>
      <c r="D154" s="4"/>
      <c r="E154" s="4"/>
      <c r="F154" s="4"/>
      <c r="G154" s="4"/>
      <c r="H154" s="4"/>
      <c r="I154" s="4"/>
    </row>
    <row r="155" ht="24" customHeight="1" spans="1:9">
      <c r="A155" s="6"/>
      <c r="B155" s="6"/>
      <c r="C155" s="6"/>
      <c r="D155" s="4"/>
      <c r="E155" s="4"/>
      <c r="F155" s="4"/>
      <c r="G155" s="4"/>
      <c r="H155" s="4"/>
      <c r="I155" s="4"/>
    </row>
    <row r="156" ht="24" customHeight="1" spans="1:9">
      <c r="A156" s="6"/>
      <c r="B156" s="6"/>
      <c r="C156" s="6"/>
      <c r="D156" s="4"/>
      <c r="E156" s="4"/>
      <c r="F156" s="4"/>
      <c r="G156" s="4"/>
      <c r="H156" s="4"/>
      <c r="I156" s="4"/>
    </row>
    <row r="157" ht="24" customHeight="1" spans="1:9">
      <c r="A157" s="6"/>
      <c r="B157" s="6"/>
      <c r="C157" s="6"/>
      <c r="D157" s="4"/>
      <c r="E157" s="4"/>
      <c r="F157" s="4"/>
      <c r="G157" s="4"/>
      <c r="H157" s="4"/>
      <c r="I157" s="4"/>
    </row>
    <row r="158" ht="24" customHeight="1" spans="1:9">
      <c r="A158" s="6"/>
      <c r="B158" s="6"/>
      <c r="C158" s="6"/>
      <c r="D158" s="4"/>
      <c r="E158" s="4"/>
      <c r="F158" s="4"/>
      <c r="G158" s="4"/>
      <c r="H158" s="4"/>
      <c r="I158" s="4"/>
    </row>
    <row r="159" ht="24" customHeight="1" spans="1:9">
      <c r="A159" s="6"/>
      <c r="B159" s="6"/>
      <c r="C159" s="6"/>
      <c r="D159" s="4"/>
      <c r="E159" s="4"/>
      <c r="F159" s="4"/>
      <c r="G159" s="4"/>
      <c r="H159" s="4"/>
      <c r="I159" s="4"/>
    </row>
    <row r="160" ht="24" customHeight="1" spans="1:9">
      <c r="A160" s="6"/>
      <c r="B160" s="6"/>
      <c r="C160" s="6"/>
      <c r="D160" s="4"/>
      <c r="E160" s="4"/>
      <c r="F160" s="4"/>
      <c r="G160" s="4"/>
      <c r="H160" s="4"/>
      <c r="I160" s="4"/>
    </row>
    <row r="161" ht="24" customHeight="1" spans="1:9">
      <c r="A161" s="6"/>
      <c r="B161" s="6"/>
      <c r="C161" s="6"/>
      <c r="D161" s="4"/>
      <c r="E161" s="4"/>
      <c r="F161" s="4"/>
      <c r="G161" s="4"/>
      <c r="H161" s="4"/>
      <c r="I161" s="4"/>
    </row>
    <row r="162" ht="24" customHeight="1" spans="1:9">
      <c r="A162" s="6"/>
      <c r="B162" s="6"/>
      <c r="C162" s="6"/>
      <c r="D162" s="4"/>
      <c r="E162" s="4"/>
      <c r="F162" s="4"/>
      <c r="G162" s="4"/>
      <c r="H162" s="4"/>
      <c r="I162" s="4"/>
    </row>
    <row r="163" ht="24" customHeight="1" spans="1:9">
      <c r="A163" s="6"/>
      <c r="B163" s="6"/>
      <c r="C163" s="6"/>
      <c r="D163" s="4"/>
      <c r="E163" s="4"/>
      <c r="F163" s="4"/>
      <c r="G163" s="4"/>
      <c r="H163" s="4"/>
      <c r="I163" s="4"/>
    </row>
    <row r="164" ht="24" customHeight="1" spans="1:9">
      <c r="A164" s="6"/>
      <c r="B164" s="6"/>
      <c r="C164" s="6"/>
      <c r="D164" s="4"/>
      <c r="E164" s="4"/>
      <c r="F164" s="4"/>
      <c r="G164" s="4"/>
      <c r="H164" s="4"/>
      <c r="I164" s="4"/>
    </row>
    <row r="165" ht="24" customHeight="1" spans="1:9">
      <c r="A165" s="6"/>
      <c r="B165" s="6"/>
      <c r="C165" s="6"/>
      <c r="D165" s="4"/>
      <c r="E165" s="4"/>
      <c r="F165" s="4"/>
      <c r="G165" s="4"/>
      <c r="H165" s="4"/>
      <c r="I165" s="4"/>
    </row>
    <row r="166" ht="24" customHeight="1" spans="1:9">
      <c r="A166" s="6"/>
      <c r="B166" s="6"/>
      <c r="C166" s="6"/>
      <c r="D166" s="4"/>
      <c r="E166" s="4"/>
      <c r="F166" s="4"/>
      <c r="G166" s="4"/>
      <c r="H166" s="4"/>
      <c r="I166" s="4"/>
    </row>
    <row r="167" ht="24" customHeight="1" spans="1:9">
      <c r="A167" s="6"/>
      <c r="B167" s="6"/>
      <c r="C167" s="6"/>
      <c r="D167" s="4"/>
      <c r="E167" s="4"/>
      <c r="F167" s="4"/>
      <c r="G167" s="4"/>
      <c r="H167" s="4"/>
      <c r="I167" s="4"/>
    </row>
    <row r="168" ht="24" customHeight="1" spans="1:9">
      <c r="A168" s="6"/>
      <c r="B168" s="6"/>
      <c r="C168" s="6"/>
      <c r="D168" s="4"/>
      <c r="E168" s="4"/>
      <c r="F168" s="4"/>
      <c r="G168" s="4"/>
      <c r="H168" s="4"/>
      <c r="I168" s="4"/>
    </row>
    <row r="169" ht="24" customHeight="1" spans="1:9">
      <c r="A169" s="6"/>
      <c r="B169" s="6"/>
      <c r="C169" s="6"/>
      <c r="D169" s="4"/>
      <c r="E169" s="4"/>
      <c r="F169" s="4"/>
      <c r="G169" s="4"/>
      <c r="H169" s="4"/>
      <c r="I169" s="4"/>
    </row>
    <row r="170" ht="24" customHeight="1" spans="1:9">
      <c r="A170" s="6"/>
      <c r="B170" s="6"/>
      <c r="C170" s="6"/>
      <c r="D170" s="4"/>
      <c r="E170" s="4"/>
      <c r="F170" s="4"/>
      <c r="G170" s="4"/>
      <c r="H170" s="4"/>
      <c r="I170" s="4"/>
    </row>
    <row r="171" ht="24" customHeight="1" spans="1:9">
      <c r="A171" s="6"/>
      <c r="B171" s="6"/>
      <c r="C171" s="6"/>
      <c r="D171" s="4"/>
      <c r="E171" s="4"/>
      <c r="F171" s="4"/>
      <c r="G171" s="4"/>
      <c r="H171" s="4"/>
      <c r="I171" s="4"/>
    </row>
    <row r="172" ht="24" customHeight="1" spans="1:9">
      <c r="A172" s="6"/>
      <c r="B172" s="6"/>
      <c r="C172" s="6"/>
      <c r="D172" s="4"/>
      <c r="E172" s="4"/>
      <c r="F172" s="4"/>
      <c r="G172" s="4"/>
      <c r="H172" s="4"/>
      <c r="I172" s="4"/>
    </row>
    <row r="173" ht="24" customHeight="1" spans="1:9">
      <c r="A173" s="6"/>
      <c r="B173" s="6"/>
      <c r="C173" s="6"/>
      <c r="D173" s="4"/>
      <c r="E173" s="4"/>
      <c r="F173" s="4"/>
      <c r="G173" s="4"/>
      <c r="H173" s="4"/>
      <c r="I173" s="4"/>
    </row>
    <row r="174" ht="24" customHeight="1" spans="1:9">
      <c r="A174" s="6"/>
      <c r="B174" s="6"/>
      <c r="C174" s="6"/>
      <c r="D174" s="4"/>
      <c r="E174" s="4"/>
      <c r="F174" s="4"/>
      <c r="G174" s="4"/>
      <c r="H174" s="4"/>
      <c r="I174" s="4"/>
    </row>
    <row r="175" ht="24" customHeight="1" spans="1:9">
      <c r="A175" s="6"/>
      <c r="B175" s="6"/>
      <c r="C175" s="6"/>
      <c r="D175" s="4"/>
      <c r="E175" s="4"/>
      <c r="F175" s="4"/>
      <c r="G175" s="4"/>
      <c r="H175" s="4"/>
      <c r="I175" s="4"/>
    </row>
    <row r="176" ht="24" customHeight="1" spans="1:9">
      <c r="A176" s="6"/>
      <c r="B176" s="6"/>
      <c r="C176" s="6"/>
      <c r="D176" s="4"/>
      <c r="E176" s="4"/>
      <c r="F176" s="4"/>
      <c r="G176" s="4"/>
      <c r="H176" s="4"/>
      <c r="I176" s="4"/>
    </row>
    <row r="177" ht="24" customHeight="1" spans="1:9">
      <c r="A177" s="6"/>
      <c r="B177" s="6"/>
      <c r="C177" s="6"/>
      <c r="D177" s="4"/>
      <c r="E177" s="4"/>
      <c r="F177" s="4"/>
      <c r="G177" s="4"/>
      <c r="H177" s="4"/>
      <c r="I177" s="4"/>
    </row>
    <row r="178" ht="24" customHeight="1" spans="1:9">
      <c r="A178" s="6"/>
      <c r="B178" s="6"/>
      <c r="C178" s="6"/>
      <c r="D178" s="4"/>
      <c r="E178" s="4"/>
      <c r="F178" s="4"/>
      <c r="G178" s="4"/>
      <c r="H178" s="4"/>
      <c r="I178" s="4"/>
    </row>
    <row r="179" ht="24" customHeight="1" spans="1:9">
      <c r="A179" s="6"/>
      <c r="B179" s="6"/>
      <c r="C179" s="6"/>
      <c r="D179" s="4"/>
      <c r="E179" s="4"/>
      <c r="F179" s="4"/>
      <c r="G179" s="4"/>
      <c r="H179" s="4"/>
      <c r="I179" s="4"/>
    </row>
    <row r="180" ht="24" customHeight="1" spans="1:9">
      <c r="A180" s="6"/>
      <c r="B180" s="6"/>
      <c r="C180" s="6"/>
      <c r="D180" s="4"/>
      <c r="E180" s="4"/>
      <c r="F180" s="4"/>
      <c r="G180" s="4"/>
      <c r="H180" s="4"/>
      <c r="I180" s="4"/>
    </row>
    <row r="181" ht="24" customHeight="1" spans="1:9">
      <c r="A181" s="6"/>
      <c r="B181" s="6"/>
      <c r="C181" s="6"/>
      <c r="D181" s="4"/>
      <c r="E181" s="4"/>
      <c r="F181" s="4"/>
      <c r="G181" s="4"/>
      <c r="H181" s="4"/>
      <c r="I181" s="4"/>
    </row>
    <row r="182" ht="24" customHeight="1" spans="1:9">
      <c r="A182" s="6"/>
      <c r="B182" s="6"/>
      <c r="C182" s="6"/>
      <c r="D182" s="4"/>
      <c r="E182" s="4"/>
      <c r="F182" s="4"/>
      <c r="G182" s="4"/>
      <c r="H182" s="4"/>
      <c r="I182" s="4"/>
    </row>
    <row r="183" ht="24" customHeight="1" spans="1:9">
      <c r="A183" s="6"/>
      <c r="B183" s="6"/>
      <c r="C183" s="6"/>
      <c r="D183" s="4"/>
      <c r="E183" s="4"/>
      <c r="F183" s="4"/>
      <c r="G183" s="4"/>
      <c r="H183" s="4"/>
      <c r="I183" s="4"/>
    </row>
    <row r="184" ht="24" customHeight="1" spans="1:9">
      <c r="A184" s="6"/>
      <c r="B184" s="6"/>
      <c r="C184" s="6"/>
      <c r="D184" s="4"/>
      <c r="E184" s="4"/>
      <c r="F184" s="4"/>
      <c r="G184" s="4"/>
      <c r="H184" s="4"/>
      <c r="I184" s="4"/>
    </row>
    <row r="185" ht="24" customHeight="1" spans="1:9">
      <c r="A185" s="6"/>
      <c r="B185" s="6"/>
      <c r="C185" s="6"/>
      <c r="D185" s="4"/>
      <c r="E185" s="4"/>
      <c r="F185" s="4"/>
      <c r="G185" s="4"/>
      <c r="H185" s="4"/>
      <c r="I185" s="4"/>
    </row>
    <row r="186" ht="24" customHeight="1" spans="1:9">
      <c r="A186" s="6"/>
      <c r="B186" s="6"/>
      <c r="C186" s="6"/>
      <c r="D186" s="4"/>
      <c r="E186" s="4"/>
      <c r="F186" s="4"/>
      <c r="G186" s="4"/>
      <c r="H186" s="4"/>
      <c r="I186" s="4"/>
    </row>
    <row r="187" ht="24" customHeight="1" spans="1:9">
      <c r="A187" s="6"/>
      <c r="B187" s="6"/>
      <c r="C187" s="6"/>
      <c r="D187" s="4"/>
      <c r="E187" s="4"/>
      <c r="F187" s="4"/>
      <c r="G187" s="4"/>
      <c r="H187" s="4"/>
      <c r="I187" s="4"/>
    </row>
    <row r="188" ht="24" customHeight="1" spans="1:9">
      <c r="A188" s="6"/>
      <c r="B188" s="6"/>
      <c r="C188" s="6"/>
      <c r="D188" s="4"/>
      <c r="E188" s="4"/>
      <c r="F188" s="4"/>
      <c r="G188" s="4"/>
      <c r="H188" s="4"/>
      <c r="I188" s="4"/>
    </row>
    <row r="189" ht="24" customHeight="1" spans="1:9">
      <c r="A189" s="6"/>
      <c r="B189" s="6"/>
      <c r="C189" s="6"/>
      <c r="D189" s="4"/>
      <c r="E189" s="4"/>
      <c r="F189" s="4"/>
      <c r="G189" s="4"/>
      <c r="H189" s="4"/>
      <c r="I189" s="4"/>
    </row>
    <row r="190" ht="24" customHeight="1" spans="1:9">
      <c r="A190" s="6"/>
      <c r="B190" s="6"/>
      <c r="C190" s="6"/>
      <c r="D190" s="4"/>
      <c r="E190" s="4"/>
      <c r="F190" s="4"/>
      <c r="G190" s="4"/>
      <c r="H190" s="4"/>
      <c r="I190" s="4"/>
    </row>
    <row r="191" ht="24" customHeight="1" spans="1:9">
      <c r="A191" s="6"/>
      <c r="B191" s="6"/>
      <c r="C191" s="6"/>
      <c r="D191" s="4"/>
      <c r="E191" s="4"/>
      <c r="F191" s="4"/>
      <c r="G191" s="4"/>
      <c r="H191" s="4"/>
      <c r="I191" s="4"/>
    </row>
    <row r="192" ht="24" customHeight="1" spans="1:9">
      <c r="A192" s="6"/>
      <c r="B192" s="6"/>
      <c r="C192" s="6"/>
      <c r="D192" s="4"/>
      <c r="E192" s="4"/>
      <c r="F192" s="4"/>
      <c r="G192" s="4"/>
      <c r="H192" s="4"/>
      <c r="I192" s="4"/>
    </row>
    <row r="193" ht="24" customHeight="1" spans="1:9">
      <c r="A193" s="6"/>
      <c r="B193" s="6"/>
      <c r="C193" s="6"/>
      <c r="D193" s="4"/>
      <c r="E193" s="4"/>
      <c r="F193" s="4"/>
      <c r="G193" s="4"/>
      <c r="H193" s="4"/>
      <c r="I193" s="4"/>
    </row>
    <row r="194" ht="24" customHeight="1" spans="1:9">
      <c r="A194" s="6"/>
      <c r="B194" s="6"/>
      <c r="C194" s="6"/>
      <c r="D194" s="4"/>
      <c r="E194" s="4"/>
      <c r="F194" s="4"/>
      <c r="G194" s="4"/>
      <c r="H194" s="4"/>
      <c r="I194" s="4"/>
    </row>
    <row r="195" ht="24" customHeight="1" spans="1:9">
      <c r="A195" s="6"/>
      <c r="B195" s="6"/>
      <c r="C195" s="6"/>
      <c r="D195" s="4"/>
      <c r="E195" s="4"/>
      <c r="F195" s="4"/>
      <c r="G195" s="4"/>
      <c r="H195" s="4"/>
      <c r="I195" s="4"/>
    </row>
    <row r="196" ht="24" customHeight="1" spans="1:9">
      <c r="A196" s="6"/>
      <c r="B196" s="6"/>
      <c r="C196" s="6"/>
      <c r="D196" s="4"/>
      <c r="E196" s="4"/>
      <c r="F196" s="4"/>
      <c r="G196" s="4"/>
      <c r="H196" s="4"/>
      <c r="I196" s="4"/>
    </row>
    <row r="197" ht="24" customHeight="1" spans="1:9">
      <c r="A197" s="6"/>
      <c r="B197" s="6"/>
      <c r="C197" s="6"/>
      <c r="D197" s="4"/>
      <c r="E197" s="4"/>
      <c r="F197" s="4"/>
      <c r="G197" s="4"/>
      <c r="H197" s="4"/>
      <c r="I197" s="4"/>
    </row>
    <row r="198" ht="24" customHeight="1" spans="1:9">
      <c r="A198" s="6"/>
      <c r="B198" s="6"/>
      <c r="C198" s="6"/>
      <c r="D198" s="4"/>
      <c r="E198" s="4"/>
      <c r="F198" s="4"/>
      <c r="G198" s="4"/>
      <c r="H198" s="4"/>
      <c r="I198" s="4"/>
    </row>
    <row r="199" ht="24" customHeight="1" spans="1:9">
      <c r="A199" s="6"/>
      <c r="B199" s="6"/>
      <c r="C199" s="6"/>
      <c r="D199" s="4"/>
      <c r="E199" s="4"/>
      <c r="F199" s="4"/>
      <c r="G199" s="4"/>
      <c r="H199" s="4"/>
      <c r="I199" s="4"/>
    </row>
    <row r="200" ht="24" customHeight="1" spans="1:9">
      <c r="A200" s="6"/>
      <c r="B200" s="6"/>
      <c r="C200" s="6"/>
      <c r="D200" s="4"/>
      <c r="E200" s="4"/>
      <c r="F200" s="4"/>
      <c r="G200" s="4"/>
      <c r="H200" s="4"/>
      <c r="I20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会议达成统计 (日)</vt:lpstr>
      <vt:lpstr>会议达成统计（周、月、年）</vt:lpstr>
      <vt:lpstr>流水帐（会议记录）</vt:lpstr>
      <vt:lpstr>基准数据库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戎双娇</cp:lastModifiedBy>
  <dcterms:created xsi:type="dcterms:W3CDTF">2023-05-15T08:39:00Z</dcterms:created>
  <dcterms:modified xsi:type="dcterms:W3CDTF">2023-07-27T12:24:59Z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29A41E2A4B1344B281AB77EDACC1F2DE_12</vt:lpwstr>
  </property>
  <property fmtid="{D5CDD505-2E9C-101B-9397-08002B2CF9AE}" pid="3" name="KSOProductBuildVer">
    <vt:lpwstr>2052-12.1.0.15120</vt:lpwstr>
  </property>
</Properties>
</file>